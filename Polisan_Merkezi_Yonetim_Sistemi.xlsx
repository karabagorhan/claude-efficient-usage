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Kaynak_Dosyalar" sheetId="2" state="visible" r:id="rId4"/>
    <sheet name="Tanimlar" sheetId="3" state="visible" r:id="rId5"/>
    <sheet name="Projeler" sheetId="4" state="visible" r:id="rId6"/>
    <sheet name="Proje_Aksiyonlar" sheetId="5" state="visible" r:id="rId7"/>
    <sheet name="Gunluk_Is_Takibi" sheetId="6" state="visible" r:id="rId8"/>
    <sheet name="Tank_Envanteri" sheetId="7" state="visible" r:id="rId9"/>
    <sheet name="Tank_Muayene_Log" sheetId="8" state="visible" r:id="rId10"/>
    <sheet name="Dolum_Hortumlari" sheetId="9" state="visible" r:id="rId11"/>
    <sheet name="Ekipman_Envanteri" sheetId="10" state="visible" r:id="rId12"/>
    <sheet name="Bakim_Gecmisi" sheetId="11" state="visible" r:id="rId13"/>
    <sheet name="Butce_Maliyet" sheetId="12" state="visible" r:id="rId14"/>
    <sheet name="Satin_Alma" sheetId="13" state="visible" r:id="rId15"/>
    <sheet name="Risk_Uygunsuzluk" sheetId="14" state="visible" r:id="rId16"/>
    <sheet name="Dokuman_Yonetimi" sheetId="15" state="visible" r:id="rId17"/>
    <sheet name="Veri_Kalitesi"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<sst xmlns="http://schemas.openxmlformats.org/spreadsheetml/2006/main" count="12563" uniqueCount="3078">
  <si>
    <t xml:space="preserve">POLİSAN KİMYA — MERKEZİ İŞLETME YÖNETİM PANELİ</t>
  </si>
  <si>
    <t xml:space="preserve">Güncelleme: 09.10.2026   |   Hazırlayan: Orhan KARABA   |   Tüm veriler kaynak dosyalardan derlenmiştir</t>
  </si>
  <si>
    <t xml:space="preserve">▶  PROJE ÖZETİ</t>
  </si>
  <si>
    <t xml:space="preserve">TOPLAM PROJE</t>
  </si>
  <si>
    <t xml:space="preserve">DEVAM EDEN</t>
  </si>
  <si>
    <t xml:space="preserve">TAMAMLANAN</t>
  </si>
  <si>
    <t xml:space="preserve">PLANLANAN BÜTÇE (TL)</t>
  </si>
  <si>
    <t xml:space="preserve">GERÇEKLEŞİN (TL)</t>
  </si>
  <si>
    <t xml:space="preserve">AKSİYON SAYISI</t>
  </si>
  <si>
    <t xml:space="preserve">▶  TANK ENVANTERİ DURUMU</t>
  </si>
  <si>
    <t xml:space="preserve">TOPLAM TANK</t>
  </si>
  <si>
    <t xml:space="preserve">UYGUN</t>
  </si>
  <si>
    <t xml:space="preserve">UYGUN DEĞİL / UYGUNSUZ</t>
  </si>
  <si>
    <t xml:space="preserve">GECİKMİŞ KONTROL</t>
  </si>
  <si>
    <t xml:space="preserve">30 GÜN İÇİNDE</t>
  </si>
  <si>
    <t xml:space="preserve">90 GÜN İÇİNDE</t>
  </si>
  <si>
    <t xml:space="preserve">▶  RİSK, UYGUNSUZLUK VE HAZOP AKSİYONLARI</t>
  </si>
  <si>
    <t xml:space="preserve">TOPLAM RİSK KAYDI</t>
  </si>
  <si>
    <t xml:space="preserve">HAZOP AKSİYONU</t>
  </si>
  <si>
    <t xml:space="preserve">TANK UYGUNSUZLUĞU</t>
  </si>
  <si>
    <t xml:space="preserve">KRİTİK RİSK</t>
  </si>
  <si>
    <t xml:space="preserve">YÜKSEK RİSK</t>
  </si>
  <si>
    <t xml:space="preserve">AÇIK AKSİYON</t>
  </si>
  <si>
    <t xml:space="preserve">▶  MALİYET MERKEZİ — OCAK-MART 2025 GERÇEKLEŞMELER (SAP)</t>
  </si>
  <si>
    <t xml:space="preserve">TOPLAM GİDER (Oca-Mar 2025)</t>
  </si>
  <si>
    <t xml:space="preserve">KAZAN DAİRESİ</t>
  </si>
  <si>
    <t xml:space="preserve">ELEKTRİK ATÖLYESİ</t>
  </si>
  <si>
    <t xml:space="preserve">DİĞER MASRAF YERLERİ</t>
  </si>
  <si>
    <t xml:space="preserve">▶  VERİ KALİTESİ VE EKSİKLİKLER</t>
  </si>
  <si>
    <t xml:space="preserve">AÇIK VERİ KALİTESİ SORUNU</t>
  </si>
  <si>
    <t xml:space="preserve">HAZOP SORUMLU EKSİK</t>
  </si>
  <si>
    <t xml:space="preserve">MALİYET DÖNEMİ KAYNAK SAYISI</t>
  </si>
  <si>
    <t xml:space="preserve">DOKÜMAN KAYDI</t>
  </si>
  <si>
    <t xml:space="preserve">KAYNAK DOSYA SAYISI</t>
  </si>
  <si>
    <t xml:space="preserve">SON GÜNCELLEME</t>
  </si>
  <si>
    <t xml:space="preserve">09.10.2026</t>
  </si>
  <si>
    <t xml:space="preserve">Sayfalar: Projeler | Proje_Aksiyonlar | Gunluk_Is_Takibi | Tank_Envanteri | Tank_Muayene_Log | Dolum_Hortumlari | Ekipman_Envanteri | Bakim_Gecmisi | Butce_Maliyet | Satin_Alma | Risk_Uygunsuzluk | Dokuman_Yonetimi | Tanimlar | Veri_Kalitesi | Kaynak_Dosyalar</t>
  </si>
  <si>
    <t xml:space="preserve">KAYNAK DOSYA ENVANTERİ</t>
  </si>
  <si>
    <t xml:space="preserve">Dosya_ID</t>
  </si>
  <si>
    <t xml:space="preserve">Dosya_Adı</t>
  </si>
  <si>
    <t xml:space="preserve">Dosya_Türü</t>
  </si>
  <si>
    <t xml:space="preserve">Modül</t>
  </si>
  <si>
    <t xml:space="preserve">Sayfa / Kapsam</t>
  </si>
  <si>
    <t xml:space="preserve">Kayıt_Sayısı</t>
  </si>
  <si>
    <t xml:space="preserve">İçerik_Özeti</t>
  </si>
  <si>
    <t xml:space="preserve">Veri_Kalitesi_Notu</t>
  </si>
  <si>
    <t xml:space="preserve">KYN-001</t>
  </si>
  <si>
    <t xml:space="preserve">HAZOP_Aksiyonlar_Excel_Aksiyon_Listesi_20260923_151212.xlsx</t>
  </si>
  <si>
    <t xml:space="preserve">HAZOP Aksiyon Listesi</t>
  </si>
  <si>
    <t xml:space="preserve">Risk &amp; Aksiyon</t>
  </si>
  <si>
    <t xml:space="preserve">HAZOP_Aksiyonlar_Excel / AKSIYON_LISTESI / AKSIYON_KONTROL</t>
  </si>
  <si>
    <t xml:space="preserve">220 aksiyon</t>
  </si>
  <si>
    <t xml:space="preserve">Gümüş Tesisi HAZOP çalışmasından elde edilen aksiyon listesi. AKSİYON_NO sütunuyla her aksiyon numaralandırılmış.</t>
  </si>
  <si>
    <t xml:space="preserve">Ekipman tag bilgisi bazı satırlarda boş; sorumlu/termin verisi mevcut değil.</t>
  </si>
  <si>
    <t xml:space="preserve">KYN-002</t>
  </si>
  <si>
    <t xml:space="preserve">Final_-_Orhan_KARABA-_Mekanik_Elektrik.xlsx</t>
  </si>
  <si>
    <t xml:space="preserve">SAP Maliyet Verisi</t>
  </si>
  <si>
    <t xml:space="preserve">Bütçe &amp; Maliyet</t>
  </si>
  <si>
    <t xml:space="preserve">Fatura Bazlı Detay (585 kayıt) + 12 özet sayfa</t>
  </si>
  <si>
    <t xml:space="preserve">585 fatura kaydı</t>
  </si>
  <si>
    <t xml:space="preserve">Oca-Mar 2025 dönemi SAP fiili giderleri. Masraf yeri, ana hesap ve belge bazında detaylı. 13 farklı maliyet merkezi.</t>
  </si>
  <si>
    <t xml:space="preserve">Planlanan/bütçe değeri yok; yalnızca gerçekleşen. Mart 2025 eksik dönem.</t>
  </si>
  <si>
    <t xml:space="preserve">KYN-003</t>
  </si>
  <si>
    <t xml:space="preserve">Polisan_Kimya_Tank_Verileri_2026.xlsx</t>
  </si>
  <si>
    <t xml:space="preserve">Tank Envanteri</t>
  </si>
  <si>
    <t xml:space="preserve">7 sayfa (Tank Listesi + 6 alan)</t>
  </si>
  <si>
    <t xml:space="preserve">139 tank</t>
  </si>
  <si>
    <t xml:space="preserve">Polisan Kimya tüm tank envanteri. Kontrol tarihi, standart, kapasite, kimyasal ve durum bilgileri mevcut.</t>
  </si>
  <si>
    <t xml:space="preserve">"Uygun Değil" tanklar için yalnızca "Out of service raporu yok" notu var; kapanış tarihi, sorumlu yok.</t>
  </si>
  <si>
    <t xml:space="preserve">KYN-004</t>
  </si>
  <si>
    <t xml:space="preserve">Pilot_Reaktor_Tasınma_Maliyeti.xlsx</t>
  </si>
  <si>
    <t xml:space="preserve">Proje Maliyet Analizi</t>
  </si>
  <si>
    <t xml:space="preserve">Projeler</t>
  </si>
  <si>
    <t xml:space="preserve">ÖZET / GİRDİLER / MALİYET / ZAMAN</t>
  </si>
  <si>
    <t xml:space="preserve">1 proje, ~80 kalem</t>
  </si>
  <si>
    <t xml:space="preserve">Pilot reaktör odasının taşınma maliyet analizi. Doküman: POL-MBO-PRT-2026-001 Rev.01. Toplam: 2.129.489 TL (KDV hariç).</t>
  </si>
  <si>
    <t xml:space="preserve">Elektrik kalemi (6. bölüm) sıfır; bilgi bekleniyor. Süreler varsayımlı.</t>
  </si>
  <si>
    <t xml:space="preserve">KYN-005</t>
  </si>
  <si>
    <t xml:space="preserve">POL-MBO-ADS-2026-002_Rev02.xlsx</t>
  </si>
  <si>
    <t xml:space="preserve">Yatırım Fizibilite</t>
  </si>
  <si>
    <t xml:space="preserve">0-Ozet / 1-Hacim / 2-Hidrolik / 3-Ortak / 4-Senaryo / 5-Riskler</t>
  </si>
  <si>
    <t xml:space="preserve">4 senaryo karşılaştırması</t>
  </si>
  <si>
    <t xml:space="preserve">Reçine Tesisi Reaktör Acil Durum Drain Sistemi. Senaryo A (Yerüstü 50m³) önerilen: ~40,3 M TL CAPEX. Doküman: POL-MBO-ADS-2026-002 Rev.02.</t>
  </si>
  <si>
    <t xml:space="preserve">AACE Class 4 tahmin (-%20/+%30). Hiçbir kalem alınmış teklif değil.</t>
  </si>
  <si>
    <t xml:space="preserve">TANIMLAR VE REFERANS LİSTELER</t>
  </si>
  <si>
    <t xml:space="preserve">PROJE DURUM</t>
  </si>
  <si>
    <t xml:space="preserve">TANK DURUM</t>
  </si>
  <si>
    <t xml:space="preserve">RİSK SEVİYESİ</t>
  </si>
  <si>
    <t xml:space="preserve">ÖNCELİK</t>
  </si>
  <si>
    <t xml:space="preserve">AKSIYON DURUM</t>
  </si>
  <si>
    <t xml:space="preserve">TESİS</t>
  </si>
  <si>
    <t xml:space="preserve">PROJE KATEGORİSİ</t>
  </si>
  <si>
    <t xml:space="preserve">MASRAF YERLERİ</t>
  </si>
  <si>
    <t xml:space="preserve">STANDARTLAR</t>
  </si>
  <si>
    <t xml:space="preserve">HORTUM DURUM</t>
  </si>
  <si>
    <t xml:space="preserve">MUAYENEPERİYOT</t>
  </si>
  <si>
    <t xml:space="preserve">PARA BİRİMİ</t>
  </si>
  <si>
    <t xml:space="preserve">Planlama</t>
  </si>
  <si>
    <t xml:space="preserve">Uygun</t>
  </si>
  <si>
    <t xml:space="preserve">KRİTİK</t>
  </si>
  <si>
    <t xml:space="preserve">1-Acil</t>
  </si>
  <si>
    <t xml:space="preserve">Açık</t>
  </si>
  <si>
    <t xml:space="preserve">Gümüş Tesisi</t>
  </si>
  <si>
    <t xml:space="preserve">Yatırım</t>
  </si>
  <si>
    <t xml:space="preserve">ALT YAPI HIZMETLERI</t>
  </si>
  <si>
    <t xml:space="preserve">API 650</t>
  </si>
  <si>
    <t xml:space="preserve">Aktif</t>
  </si>
  <si>
    <t xml:space="preserve">Yıllık</t>
  </si>
  <si>
    <t xml:space="preserve">TRY</t>
  </si>
  <si>
    <t xml:space="preserve">Onay Bekliyor</t>
  </si>
  <si>
    <t xml:space="preserve">Uygun Değil</t>
  </si>
  <si>
    <t xml:space="preserve">YÜKSEK</t>
  </si>
  <si>
    <t xml:space="preserve">2-Yüksek</t>
  </si>
  <si>
    <t xml:space="preserve">Devam Ediyor</t>
  </si>
  <si>
    <t xml:space="preserve">ADR Tank Sahası</t>
  </si>
  <si>
    <t xml:space="preserve">Bakım-Onarım</t>
  </si>
  <si>
    <t xml:space="preserve">API 653</t>
  </si>
  <si>
    <t xml:space="preserve">Bakımda</t>
  </si>
  <si>
    <t xml:space="preserve">3 Yıllık</t>
  </si>
  <si>
    <t xml:space="preserve">USD</t>
  </si>
  <si>
    <t xml:space="preserve">Uygunsuz</t>
  </si>
  <si>
    <t xml:space="preserve">ORTA</t>
  </si>
  <si>
    <t xml:space="preserve">3-Orta</t>
  </si>
  <si>
    <t xml:space="preserve">Gecikmiş</t>
  </si>
  <si>
    <t xml:space="preserve">Reçine Tesisi</t>
  </si>
  <si>
    <t xml:space="preserve">İyileştirme</t>
  </si>
  <si>
    <t xml:space="preserve">JENERATOR HİZMETLERİ</t>
  </si>
  <si>
    <t xml:space="preserve">API 510</t>
  </si>
  <si>
    <t xml:space="preserve">Kullanım Dışı</t>
  </si>
  <si>
    <t xml:space="preserve">5 Yıllık</t>
  </si>
  <si>
    <t xml:space="preserve">EUR</t>
  </si>
  <si>
    <t xml:space="preserve">Askıya Alındı</t>
  </si>
  <si>
    <t xml:space="preserve">Kullanım Dışı /Uygun</t>
  </si>
  <si>
    <t xml:space="preserve">DÜŞÜK</t>
  </si>
  <si>
    <t xml:space="preserve">4-Düşük</t>
  </si>
  <si>
    <t xml:space="preserve">Tamamlandı</t>
  </si>
  <si>
    <t xml:space="preserve">Dilovası Yapı Kim.</t>
  </si>
  <si>
    <t xml:space="preserve">Revizyon</t>
  </si>
  <si>
    <t xml:space="preserve">TS EN 12285-2</t>
  </si>
  <si>
    <t xml:space="preserve">Değişim Gerekli</t>
  </si>
  <si>
    <t xml:space="preserve">10 Yıllık</t>
  </si>
  <si>
    <t xml:space="preserve">Kontrolü yok</t>
  </si>
  <si>
    <t xml:space="preserve">İptal</t>
  </si>
  <si>
    <t xml:space="preserve">AUS Tank Sahası</t>
  </si>
  <si>
    <t xml:space="preserve">Güvenlik</t>
  </si>
  <si>
    <t xml:space="preserve">KOMPRESÖR HİZMETLERİ</t>
  </si>
  <si>
    <t xml:space="preserve">API 510 / API 653</t>
  </si>
  <si>
    <t xml:space="preserve">Hurdaya Ayrıldı</t>
  </si>
  <si>
    <t xml:space="preserve">Out of service 10 yıl / In Service 5 yıl</t>
  </si>
  <si>
    <t xml:space="preserve">Bilgi Bekleniyor</t>
  </si>
  <si>
    <t xml:space="preserve">Reçine Yardımcı</t>
  </si>
  <si>
    <t xml:space="preserve">Çevre</t>
  </si>
  <si>
    <t xml:space="preserve">TEKNİK ORTAK HİZM.</t>
  </si>
  <si>
    <t xml:space="preserve">IEC 60079-32-1</t>
  </si>
  <si>
    <t xml:space="preserve">Yardımcı İşl.</t>
  </si>
  <si>
    <t xml:space="preserve">Altyapı</t>
  </si>
  <si>
    <t xml:space="preserve">TEKNİK AMBAR</t>
  </si>
  <si>
    <t xml:space="preserve">AACE Class 4</t>
  </si>
  <si>
    <t xml:space="preserve">Ortak Alan</t>
  </si>
  <si>
    <t xml:space="preserve">Ar-Ge</t>
  </si>
  <si>
    <t xml:space="preserve">SU ÜRETİM</t>
  </si>
  <si>
    <t xml:space="preserve">SU ARITMA</t>
  </si>
  <si>
    <t xml:space="preserve">MEKANİK ATÖLYE</t>
  </si>
  <si>
    <t xml:space="preserve">DİĞER</t>
  </si>
  <si>
    <t xml:space="preserve">PROJE YÖNETİM TABLOSU</t>
  </si>
  <si>
    <t xml:space="preserve">PRJ_ID</t>
  </si>
  <si>
    <t xml:space="preserve">Proje_Adı</t>
  </si>
  <si>
    <t xml:space="preserve">Tesis</t>
  </si>
  <si>
    <t xml:space="preserve">Kategori</t>
  </si>
  <si>
    <t xml:space="preserve">Açıklama / Kapsam</t>
  </si>
  <si>
    <t xml:space="preserve">Teknik_Gerekçe</t>
  </si>
  <si>
    <t xml:space="preserve">Fayda</t>
  </si>
  <si>
    <t xml:space="preserve">Öncelik</t>
  </si>
  <si>
    <t xml:space="preserve">Risk_Seviyesi</t>
  </si>
  <si>
    <t xml:space="preserve">Sorumlu</t>
  </si>
  <si>
    <t xml:space="preserve">Talep_Tarihi</t>
  </si>
  <si>
    <t xml:space="preserve">Plan_Baslangic</t>
  </si>
  <si>
    <t xml:space="preserve">Plan_Bitis</t>
  </si>
  <si>
    <t xml:space="preserve">Ger_Baslangic</t>
  </si>
  <si>
    <t xml:space="preserve">Ger_Bitis</t>
  </si>
  <si>
    <t xml:space="preserve">Aşama</t>
  </si>
  <si>
    <t xml:space="preserve">İlerleme_%</t>
  </si>
  <si>
    <t xml:space="preserve">Plan_Butce_TL</t>
  </si>
  <si>
    <t xml:space="preserve">Teklif_TL</t>
  </si>
  <si>
    <t xml:space="preserve">Siparis_TL</t>
  </si>
  <si>
    <t xml:space="preserve">Ger_Harcama_TL</t>
  </si>
  <si>
    <t xml:space="preserve">Kalan_Butce_TL</t>
  </si>
  <si>
    <t xml:space="preserve">Butce_Sapmasi_%</t>
  </si>
  <si>
    <t xml:space="preserve">Belge_No</t>
  </si>
  <si>
    <t xml:space="preserve">Durum</t>
  </si>
  <si>
    <t xml:space="preserve">Sonraki_Aksiyon</t>
  </si>
  <si>
    <t xml:space="preserve">Aks_Sorumlu</t>
  </si>
  <si>
    <t xml:space="preserve">Aks_Termin</t>
  </si>
  <si>
    <t xml:space="preserve">Gecikme_Nedeni</t>
  </si>
  <si>
    <t xml:space="preserve">Son_Guncelleme</t>
  </si>
  <si>
    <t xml:space="preserve">PRJ-2026-001</t>
  </si>
  <si>
    <t xml:space="preserve">Pilot Reaktör Odası Taşınması</t>
  </si>
  <si>
    <t xml:space="preserve">Taşıma / Yeniden Düzenleme</t>
  </si>
  <si>
    <t xml:space="preserve">Pilot reaktör odasının (yemekhane yanı) Ar-Ge arkasındaki alana taşınması</t>
  </si>
  <si>
    <t xml:space="preserve">Mevcut pilot reaktör odası konumu operasyonel açıdan uygun değil; kapasite ve güvenlik gerekliliklerini karşılamıyor.</t>
  </si>
  <si>
    <t xml:space="preserve">İşletme güvenliğinin artırılması, proses verimliliği ve ar-ge kapasitesinin iyileştirilmesi</t>
  </si>
  <si>
    <t xml:space="preserve">Orhan KARABA</t>
  </si>
  <si>
    <t xml:space="preserve">01.09.2026</t>
  </si>
  <si>
    <t xml:space="preserve">01.10.2026</t>
  </si>
  <si>
    <t xml:space="preserve">01.12.2026</t>
  </si>
  <si>
    <t xml:space="preserve">Planlama / Maliyet Analizi</t>
  </si>
  <si>
    <t xml:space="preserve">POL-MBO-PRT-2026-001 Rev.01</t>
  </si>
  <si>
    <t xml:space="preserve">Elektrik bağlantısı kapsamının netleştirilmesi (Kalem 6 sıfır); kot ölçümü ve mühendislik onayı</t>
  </si>
  <si>
    <t xml:space="preserve">30.10.2026</t>
  </si>
  <si>
    <t xml:space="preserve">PRJ-2026-002</t>
  </si>
  <si>
    <t xml:space="preserve">Reçine Tesisi Reaktör Acil Durum Drain (Dump) Sistemi</t>
  </si>
  <si>
    <t xml:space="preserve">Güvenlik / Yatırım</t>
  </si>
  <si>
    <t xml:space="preserve">Reçine tesisi reaktörlerinin (R-101 ile R-106) acil durum boşaltma sistemi kurulumu. 50 m³ nominal dump tankı ve bağlantı hatları.</t>
  </si>
  <si>
    <t xml:space="preserve">HAZOP çalışmasında reaktör acil boşaltma altyapısı eksikliği kritik risk olarak tespit edildi. LOPA gereksinimleri karşılanmalı.</t>
  </si>
  <si>
    <t xml:space="preserve">Yangın/patlama riski eliminasyonu, düzenleyici uyumluluk, operasyonel güvenilirlik artışı</t>
  </si>
  <si>
    <t xml:space="preserve">01.11.2026</t>
  </si>
  <si>
    <t xml:space="preserve">30.06.2027</t>
  </si>
  <si>
    <t xml:space="preserve">Fizibilite / Senaryo Analizi</t>
  </si>
  <si>
    <t xml:space="preserve">POL-MBO-ADS-2026-002 Rev.02</t>
  </si>
  <si>
    <t xml:space="preserve">Kot etüdü ve DN200 kollektör mesafe ölçümü; Senaryo A vs B final karar; HAZOP revizyonu; tedarikçi teklif toplama</t>
  </si>
  <si>
    <t xml:space="preserve">UF reaktör hacmi ve fenolik swell doğrulanmadan hacim kesinleşmez</t>
  </si>
  <si>
    <t xml:space="preserve">PROJE AKSİYONLARI</t>
  </si>
  <si>
    <t xml:space="preserve">AKS_ID</t>
  </si>
  <si>
    <t xml:space="preserve">Aksiyon_Açıklaması</t>
  </si>
  <si>
    <t xml:space="preserve">Acilis_Tarihi</t>
  </si>
  <si>
    <t xml:space="preserve">Termin</t>
  </si>
  <si>
    <t xml:space="preserve">Tamamlanma_Tarihi</t>
  </si>
  <si>
    <t xml:space="preserve">Gecikme_Gun</t>
  </si>
  <si>
    <t xml:space="preserve">Notlar</t>
  </si>
  <si>
    <t xml:space="preserve">Son_Güncelleme</t>
  </si>
  <si>
    <t xml:space="preserve">PA-001</t>
  </si>
  <si>
    <t xml:space="preserve">Elektrik bağlantısı kapsamı netleştirilecek (kablo metrajı, pano konumu belirlenmeli)</t>
  </si>
  <si>
    <t xml:space="preserve">Mühendislik / Kapsam</t>
  </si>
  <si>
    <t xml:space="preserve">Elektrik kapsamı netleşmeden maliyet analizi tamamlanamaz</t>
  </si>
  <si>
    <t xml:space="preserve">PA-002</t>
  </si>
  <si>
    <t xml:space="preserve">Betopan demontaj birim fiyatı teyidi (PH.INS.035 yarı fiyatı varsayım)</t>
  </si>
  <si>
    <t xml:space="preserve">Teknik / Sözleşme</t>
  </si>
  <si>
    <t xml:space="preserve">Açık madde: protokolde demontaj pozu yok</t>
  </si>
  <si>
    <t xml:space="preserve">PA-003</t>
  </si>
  <si>
    <t xml:space="preserve">İzolasyon demontajı yevmiye sayısı doğrulanacak (6 vs 8 yevmiye açıklığı)</t>
  </si>
  <si>
    <t xml:space="preserve">Teknik / Kapsam</t>
  </si>
  <si>
    <t xml:space="preserve">Kullanıcı 6 yevmiye verdi; maliyet hesabında 8 kullanıldı</t>
  </si>
  <si>
    <t xml:space="preserve">PA-004</t>
  </si>
  <si>
    <t xml:space="preserve">Yüklenici teklif alınması (en az 3 tedarikçi)</t>
  </si>
  <si>
    <t xml:space="preserve">Satın Alma</t>
  </si>
  <si>
    <t xml:space="preserve">Mevcut maliyet AACE Class 4 tahmin</t>
  </si>
  <si>
    <t xml:space="preserve">PA-005</t>
  </si>
  <si>
    <t xml:space="preserve">Kot etüdü: reaktör dip nozulu ile dump tankı yükseklik farkı ≥4m doğrulanacak</t>
  </si>
  <si>
    <t xml:space="preserve">Mühendislik / Saha</t>
  </si>
  <si>
    <t xml:space="preserve">Senaryo A için kritik: kot &lt;4m ise yerçekimiyle çalışmaz</t>
  </si>
  <si>
    <t xml:space="preserve">PA-006</t>
  </si>
  <si>
    <t xml:space="preserve">R-105/R-106 dolu hacmi ve R-101/R-102 çalışma hacminin teyidi</t>
  </si>
  <si>
    <t xml:space="preserve">Proses / Mühendislik</t>
  </si>
  <si>
    <t xml:space="preserve">50 m³ tank hacmi bu verilere göre seçildi</t>
  </si>
  <si>
    <t xml:space="preserve">PA-007</t>
  </si>
  <si>
    <t xml:space="preserve">ARC/VSP2 kalorimetre (fenolik) → DIERS hesabı</t>
  </si>
  <si>
    <t xml:space="preserve">Güvenlik / Test</t>
  </si>
  <si>
    <t xml:space="preserve">UF reaktör swell fenolik 1,25 varsayımı doğrulanmadan hacim kesinleşmez</t>
  </si>
  <si>
    <t xml:space="preserve">PA-008</t>
  </si>
  <si>
    <t xml:space="preserve">DN200 kollektör güzergah saha ölçümü (25m kabul edildi)</t>
  </si>
  <si>
    <t xml:space="preserve">Her 10m ek hat süreyi ~%8 artırır</t>
  </si>
  <si>
    <t xml:space="preserve">PA-009</t>
  </si>
  <si>
    <t xml:space="preserve">HAZOP revizyonu: kollektör fail-safe mantığı ve ürün karışımı uyumluluğu</t>
  </si>
  <si>
    <t xml:space="preserve">Güvenlik / HAZOP</t>
  </si>
  <si>
    <t xml:space="preserve">PA-010</t>
  </si>
  <si>
    <t xml:space="preserve">Tank / dump vanası / kaplama için 3 tedarikçiden teklif alınması</t>
  </si>
  <si>
    <t xml:space="preserve">Hiçbir kalem alınmış teklif değil; AACE Class 4</t>
  </si>
  <si>
    <t xml:space="preserve">PA-011</t>
  </si>
  <si>
    <t xml:space="preserve">Tie-in işlerinin planlı TAM penceresine alınması</t>
  </si>
  <si>
    <t xml:space="preserve">Planlama / TAM</t>
  </si>
  <si>
    <t xml:space="preserve">GÜNLÜK İŞ VE AKSİYON TAKİBİ</t>
  </si>
  <si>
    <t xml:space="preserve">IS_ID</t>
  </si>
  <si>
    <t xml:space="preserve">İş_Açıklaması</t>
  </si>
  <si>
    <t xml:space="preserve">İlgili_PRJ</t>
  </si>
  <si>
    <t xml:space="preserve">Ekipman_Tag</t>
  </si>
  <si>
    <t xml:space="preserve">İş_Kategorisi</t>
  </si>
  <si>
    <t xml:space="preserve">Talep_Eden</t>
  </si>
  <si>
    <t xml:space="preserve">Bekleme_Nedeni</t>
  </si>
  <si>
    <t xml:space="preserve">Son_İşlem</t>
  </si>
  <si>
    <t xml:space="preserve">Sonraki_Adım</t>
  </si>
  <si>
    <t xml:space="preserve">Tamamlanma</t>
  </si>
  <si>
    <t xml:space="preserve">IS-001</t>
  </si>
  <si>
    <t xml:space="preserve">Tank havuzu sızdırmazlık ve statik yük raporu alınacak (T-303 çevresi)</t>
  </si>
  <si>
    <t xml:space="preserve">T-303</t>
  </si>
  <si>
    <t xml:space="preserve">Teknik İnceleme / Rapor</t>
  </si>
  <si>
    <t xml:space="preserve">HAZOP Ekibi</t>
  </si>
  <si>
    <t xml:space="preserve">23.09.2026</t>
  </si>
  <si>
    <t xml:space="preserve">HAZOP A-003 aksiyonundan kaynaklanıyor</t>
  </si>
  <si>
    <t xml:space="preserve">Muayene firmasına talep gönderilecek</t>
  </si>
  <si>
    <t xml:space="preserve">IS-002</t>
  </si>
  <si>
    <t xml:space="preserve">LS-02 SIL sertifikalı seviye transmitteri T-303'e kurulumu</t>
  </si>
  <si>
    <t xml:space="preserve">T-303 / LS-02</t>
  </si>
  <si>
    <t xml:space="preserve">Enstrüman Montajı</t>
  </si>
  <si>
    <t xml:space="preserve">31.12.2026</t>
  </si>
  <si>
    <t xml:space="preserve">Cihaz temin ve montaj programı bekleniyor</t>
  </si>
  <si>
    <t xml:space="preserve">Teknik şartname hazırlanacak; tedarikçi araştırması</t>
  </si>
  <si>
    <t xml:space="preserve">IS-003</t>
  </si>
  <si>
    <t xml:space="preserve">Metanol tankı (T-303) kumlamalı boya bakımı</t>
  </si>
  <si>
    <t xml:space="preserve">T-303 / Metanol Tankı</t>
  </si>
  <si>
    <t xml:space="preserve">Mekanik Bakım</t>
  </si>
  <si>
    <t xml:space="preserve">Bakım Mühendisi</t>
  </si>
  <si>
    <t xml:space="preserve">31.03.2027</t>
  </si>
  <si>
    <t xml:space="preserve">Bütçe onayı bekleniyor</t>
  </si>
  <si>
    <t xml:space="preserve">Tank muayene raporunda "korozyon çok şiddetli" notu var</t>
  </si>
  <si>
    <t xml:space="preserve">Bütçe talebini hazırla; iş izni planla</t>
  </si>
  <si>
    <t xml:space="preserve">IS-004</t>
  </si>
  <si>
    <t xml:space="preserve">UFC+FA Geçiş Tankı tavan korkulukları revizyonu</t>
  </si>
  <si>
    <t xml:space="preserve">UFC+FA Geçiş Tankı (602)</t>
  </si>
  <si>
    <t xml:space="preserve">Kontrol raporunda "tavan korkulukları revizyon gerekli" notu var</t>
  </si>
  <si>
    <t xml:space="preserve">Ölçüm ve çizim hazırlanacak; iş izni</t>
  </si>
  <si>
    <t xml:space="preserve">IS-005</t>
  </si>
  <si>
    <t xml:space="preserve">Formaldehit tankları (201-502) Out-of-service muayene raporu eksikliği</t>
  </si>
  <si>
    <t xml:space="preserve">FORMALDEHİT TANKI 201/301/302/501/502/101/300</t>
  </si>
  <si>
    <t xml:space="preserve">Muayene / Uygunluk</t>
  </si>
  <si>
    <t xml:space="preserve">Teknik Güvenlik</t>
  </si>
  <si>
    <t xml:space="preserve">Akredite muayene firması program bekleniyor</t>
  </si>
  <si>
    <t xml:space="preserve">7 tank uygun değil; sadece in-service raporu mevcut</t>
  </si>
  <si>
    <t xml:space="preserve">Muayene firmasına yazı gönderilecek; out-of-service takvim belirlenecek</t>
  </si>
  <si>
    <t xml:space="preserve">IS-006</t>
  </si>
  <si>
    <t xml:space="preserve">ADS projesi senaryo A/B final karar ve onay</t>
  </si>
  <si>
    <t xml:space="preserve">Proje Kararı</t>
  </si>
  <si>
    <t xml:space="preserve">Yönetim</t>
  </si>
  <si>
    <t xml:space="preserve">15.11.2026</t>
  </si>
  <si>
    <t xml:space="preserve">Kot etüdü sonucu bekleniyor (PA-005)</t>
  </si>
  <si>
    <t xml:space="preserve">Kot etüdü tamamlanınca yönetime sunum yapılacak</t>
  </si>
  <si>
    <t xml:space="preserve">TANK ENVANTERİ — TÜM TESİSLER</t>
  </si>
  <si>
    <t xml:space="preserve">TANK_ID</t>
  </si>
  <si>
    <t xml:space="preserve">Kaynak_Sayfa</t>
  </si>
  <si>
    <t xml:space="preserve">SN</t>
  </si>
  <si>
    <t xml:space="preserve">Tank_Adı</t>
  </si>
  <si>
    <t xml:space="preserve">Tank_No_ID</t>
  </si>
  <si>
    <t xml:space="preserve">Hacim_m3</t>
  </si>
  <si>
    <t xml:space="preserve">Kimyasal</t>
  </si>
  <si>
    <t xml:space="preserve">Tank_Tipi</t>
  </si>
  <si>
    <t xml:space="preserve">Malzeme</t>
  </si>
  <si>
    <t xml:space="preserve">Standart</t>
  </si>
  <si>
    <t xml:space="preserve">Muayene_Periyot</t>
  </si>
  <si>
    <t xml:space="preserve">Son_Kontrol</t>
  </si>
  <si>
    <t xml:space="preserve">Sonraki_Kontrol</t>
  </si>
  <si>
    <t xml:space="preserve">Kalan_Gun</t>
  </si>
  <si>
    <t xml:space="preserve">Uyarı_Durumu</t>
  </si>
  <si>
    <t xml:space="preserve">Rapor_No</t>
  </si>
  <si>
    <t xml:space="preserve">Açıklama</t>
  </si>
  <si>
    <t xml:space="preserve">T-001</t>
  </si>
  <si>
    <t xml:space="preserve">Tank Listesİ</t>
  </si>
  <si>
    <t xml:space="preserve">1.0</t>
  </si>
  <si>
    <t xml:space="preserve">ANA KOSTIK TANKI(st61m3)</t>
  </si>
  <si>
    <t xml:space="preserve">703.0</t>
  </si>
  <si>
    <t xml:space="preserve">KOSTİK</t>
  </si>
  <si>
    <t xml:space="preserve">Ayaklı tank</t>
  </si>
  <si>
    <t xml:space="preserve">TS EN 12285 -2 / API- 510</t>
  </si>
  <si>
    <t xml:space="preserve">2025-03-24 00:00:00</t>
  </si>
  <si>
    <t xml:space="preserve">2026-03-24 00:00:00</t>
  </si>
  <si>
    <t xml:space="preserve">T-002</t>
  </si>
  <si>
    <t xml:space="preserve">2.0</t>
  </si>
  <si>
    <t xml:space="preserve">UFC+FA GEÇİŞ TANKI</t>
  </si>
  <si>
    <t xml:space="preserve">602.0</t>
  </si>
  <si>
    <t xml:space="preserve">UFC</t>
  </si>
  <si>
    <t xml:space="preserve">2025-04-08 00:00:00</t>
  </si>
  <si>
    <t xml:space="preserve">2026-04-08 00:00:00</t>
  </si>
  <si>
    <t xml:space="preserve">TAVAN KORKULUKLARI  REVİZYON GEREKLİ</t>
  </si>
  <si>
    <t xml:space="preserve">T-003</t>
  </si>
  <si>
    <t xml:space="preserve">3.0</t>
  </si>
  <si>
    <t xml:space="preserve">FORMALDEHİT TANKI</t>
  </si>
  <si>
    <t xml:space="preserve">201.0</t>
  </si>
  <si>
    <t xml:space="preserve">FORMALDEHİT</t>
  </si>
  <si>
    <t xml:space="preserve">Ayaksız tank</t>
  </si>
  <si>
    <t xml:space="preserve">API- 653</t>
  </si>
  <si>
    <t xml:space="preserve">Out of service 10 yıl / İn Service 5 yıl</t>
  </si>
  <si>
    <t xml:space="preserve">2018-07-01 00:00:00</t>
  </si>
  <si>
    <t xml:space="preserve">2023-07-01 00:00:00</t>
  </si>
  <si>
    <t xml:space="preserve">Sadece inservice raporu bulunmaktadır. Out of sevice raporu da olmalıdır. Bu sebeple uygunsuzdur.</t>
  </si>
  <si>
    <t xml:space="preserve">T-004</t>
  </si>
  <si>
    <t xml:space="preserve">4.0</t>
  </si>
  <si>
    <t xml:space="preserve">FORMALDEHIT TANKI-2</t>
  </si>
  <si>
    <t xml:space="preserve">301.0</t>
  </si>
  <si>
    <t xml:space="preserve">2020-01-01 00:00:00</t>
  </si>
  <si>
    <t xml:space="preserve">2025-01-01 00:00:00</t>
  </si>
  <si>
    <t xml:space="preserve">T-005</t>
  </si>
  <si>
    <t xml:space="preserve">5.0</t>
  </si>
  <si>
    <t xml:space="preserve">FORMALDEHIT TANKI-3</t>
  </si>
  <si>
    <t xml:space="preserve">302.0</t>
  </si>
  <si>
    <t xml:space="preserve">T-006</t>
  </si>
  <si>
    <t xml:space="preserve">6.0</t>
  </si>
  <si>
    <t xml:space="preserve">FORMALDEHIT TANKI-4</t>
  </si>
  <si>
    <t xml:space="preserve">501.0</t>
  </si>
  <si>
    <t xml:space="preserve">2021-03-01 00:00:00</t>
  </si>
  <si>
    <t xml:space="preserve">2026-03-01 00:00:00</t>
  </si>
  <si>
    <t xml:space="preserve">T-007</t>
  </si>
  <si>
    <t xml:space="preserve">7.0</t>
  </si>
  <si>
    <t xml:space="preserve">FORMALDEHIT TANKI-5</t>
  </si>
  <si>
    <t xml:space="preserve">502.0</t>
  </si>
  <si>
    <t xml:space="preserve">T-008</t>
  </si>
  <si>
    <t xml:space="preserve">8.0</t>
  </si>
  <si>
    <t xml:space="preserve">FORMALDEHIT TANKI-6</t>
  </si>
  <si>
    <t xml:space="preserve">101.0</t>
  </si>
  <si>
    <t xml:space="preserve">T-009</t>
  </si>
  <si>
    <t xml:space="preserve">9.0</t>
  </si>
  <si>
    <t xml:space="preserve">FORMALDEHIT TANKI-8</t>
  </si>
  <si>
    <t xml:space="preserve">300.0</t>
  </si>
  <si>
    <t xml:space="preserve">T-010</t>
  </si>
  <si>
    <t xml:space="preserve">10.0</t>
  </si>
  <si>
    <t xml:space="preserve">FORMALDEHIT TANKI</t>
  </si>
  <si>
    <t xml:space="preserve">601.0</t>
  </si>
  <si>
    <t xml:space="preserve">2025-04-07 00:00:00</t>
  </si>
  <si>
    <t xml:space="preserve">2026-04-06 00:00:00</t>
  </si>
  <si>
    <t xml:space="preserve">TAVAN KORKULUKLARI VE ALT SÜPÜRGELİKLERİ YOK.</t>
  </si>
  <si>
    <t xml:space="preserve">T-011</t>
  </si>
  <si>
    <t xml:space="preserve">11.0</t>
  </si>
  <si>
    <t xml:space="preserve">FENOL TANKI</t>
  </si>
  <si>
    <t xml:space="preserve">702.0</t>
  </si>
  <si>
    <t xml:space="preserve">FENOL</t>
  </si>
  <si>
    <t xml:space="preserve">T-012</t>
  </si>
  <si>
    <t xml:space="preserve">12.0</t>
  </si>
  <si>
    <t xml:space="preserve">METANOL TANKI</t>
  </si>
  <si>
    <t xml:space="preserve">303.0</t>
  </si>
  <si>
    <t xml:space="preserve">METANOL</t>
  </si>
  <si>
    <t xml:space="preserve">25.08.2025 API 653</t>
  </si>
  <si>
    <t xml:space="preserve">2030-08-28 00:00:00</t>
  </si>
  <si>
    <t xml:space="preserve">TANK KOMPLE MEKANİK BAKIMA ALINMALI - KUMLAMA BOYA - KOROZYON OLUŞUMU ÇOK ŞİDDETLİ</t>
  </si>
  <si>
    <t xml:space="preserve">T-013</t>
  </si>
  <si>
    <t xml:space="preserve">13.0</t>
  </si>
  <si>
    <t xml:space="preserve">DESTİLAT TANKI</t>
  </si>
  <si>
    <t xml:space="preserve">705.0</t>
  </si>
  <si>
    <t xml:space="preserve">T-014</t>
  </si>
  <si>
    <t xml:space="preserve">14.0</t>
  </si>
  <si>
    <t xml:space="preserve">KONDENS TANKI</t>
  </si>
  <si>
    <t xml:space="preserve">704.0</t>
  </si>
  <si>
    <t xml:space="preserve">2025-04-01 00:00:00</t>
  </si>
  <si>
    <t xml:space="preserve">TANK KOROZYON KAYNAKLI INSPECTION YAPILAMAMIŞTIR. KUMLAMA BOYA GEREKLİDİR.</t>
  </si>
  <si>
    <t xml:space="preserve">T-015</t>
  </si>
  <si>
    <t xml:space="preserve">15.0</t>
  </si>
  <si>
    <t xml:space="preserve">PROSES SU TANKI</t>
  </si>
  <si>
    <t xml:space="preserve">701.0</t>
  </si>
  <si>
    <t xml:space="preserve">T-016</t>
  </si>
  <si>
    <t xml:space="preserve">16.0</t>
  </si>
  <si>
    <t xml:space="preserve">SU TANKI</t>
  </si>
  <si>
    <t xml:space="preserve">102.0</t>
  </si>
  <si>
    <t xml:space="preserve">T-017</t>
  </si>
  <si>
    <t xml:space="preserve">17.0</t>
  </si>
  <si>
    <t xml:space="preserve">RECINE TANKI-1</t>
  </si>
  <si>
    <t xml:space="preserve">ÜRE REÇİNESİ</t>
  </si>
  <si>
    <t xml:space="preserve">2025-03-22 00:00:00</t>
  </si>
  <si>
    <t xml:space="preserve">2026-03-22 00:00:00</t>
  </si>
  <si>
    <t xml:space="preserve">T-018</t>
  </si>
  <si>
    <t xml:space="preserve">18.0</t>
  </si>
  <si>
    <t xml:space="preserve">RECINE TANKI-2</t>
  </si>
  <si>
    <t xml:space="preserve">T-019</t>
  </si>
  <si>
    <t xml:space="preserve">19.0</t>
  </si>
  <si>
    <t xml:space="preserve">RECINE TANKI-3</t>
  </si>
  <si>
    <t xml:space="preserve">T-020</t>
  </si>
  <si>
    <t xml:space="preserve">20.0</t>
  </si>
  <si>
    <t xml:space="preserve">RECINE TANKI-4</t>
  </si>
  <si>
    <t xml:space="preserve">T-021</t>
  </si>
  <si>
    <t xml:space="preserve">21.0</t>
  </si>
  <si>
    <t xml:space="preserve">RECINE TANKI-5</t>
  </si>
  <si>
    <t xml:space="preserve">T-022</t>
  </si>
  <si>
    <t xml:space="preserve">22.0</t>
  </si>
  <si>
    <t xml:space="preserve">RECINE TANKI-8</t>
  </si>
  <si>
    <t xml:space="preserve">T-023</t>
  </si>
  <si>
    <t xml:space="preserve">23.0</t>
  </si>
  <si>
    <t xml:space="preserve">RECINE TANKI-9</t>
  </si>
  <si>
    <t xml:space="preserve">T-024</t>
  </si>
  <si>
    <t xml:space="preserve">24.0</t>
  </si>
  <si>
    <t xml:space="preserve">RECINE TANKI-10</t>
  </si>
  <si>
    <t xml:space="preserve">T-025</t>
  </si>
  <si>
    <t xml:space="preserve">25.0</t>
  </si>
  <si>
    <t xml:space="preserve">RECINE TANKI-6</t>
  </si>
  <si>
    <t xml:space="preserve">T-026</t>
  </si>
  <si>
    <t xml:space="preserve">26.0</t>
  </si>
  <si>
    <t xml:space="preserve">RECINE TANKI-7</t>
  </si>
  <si>
    <t xml:space="preserve">T-027</t>
  </si>
  <si>
    <t xml:space="preserve">27.0</t>
  </si>
  <si>
    <t xml:space="preserve">FENOL FORMALDEHIT TANKI-11</t>
  </si>
  <si>
    <t xml:space="preserve">FENOL REÇİNE</t>
  </si>
  <si>
    <t xml:space="preserve">2025-03-28 00:00:00</t>
  </si>
  <si>
    <t xml:space="preserve">2030-03-27 00:00:00</t>
  </si>
  <si>
    <t xml:space="preserve">T-028</t>
  </si>
  <si>
    <t xml:space="preserve">28.0</t>
  </si>
  <si>
    <t xml:space="preserve">FENOL FORMALDEHIT TANKI-12</t>
  </si>
  <si>
    <t xml:space="preserve">T-029</t>
  </si>
  <si>
    <t xml:space="preserve">29.0</t>
  </si>
  <si>
    <t xml:space="preserve">FENOL FORMALDEHIT TANKI-13</t>
  </si>
  <si>
    <t xml:space="preserve">T-030</t>
  </si>
  <si>
    <t xml:space="preserve">30.0</t>
  </si>
  <si>
    <t xml:space="preserve">AMONYAK TANKI</t>
  </si>
  <si>
    <t xml:space="preserve">AMONYAK</t>
  </si>
  <si>
    <t xml:space="preserve">2025-09-03 00:00:00</t>
  </si>
  <si>
    <t xml:space="preserve">2026-09-03 00:00:00</t>
  </si>
  <si>
    <t xml:space="preserve">KUMLAMA BOYA YAPILMALI. ANKRAJ SABİTLENMELİ</t>
  </si>
  <si>
    <t xml:space="preserve">T-031</t>
  </si>
  <si>
    <t xml:space="preserve">31.0</t>
  </si>
  <si>
    <t xml:space="preserve">ALX TANKI</t>
  </si>
  <si>
    <t xml:space="preserve">ANKRAJ VE KORKULUKLARA BAKIM ONARIM VE KUMLAMA BOYA GEREKLİDİR.</t>
  </si>
  <si>
    <t xml:space="preserve">T-032</t>
  </si>
  <si>
    <t xml:space="preserve">32.0</t>
  </si>
  <si>
    <t xml:space="preserve">AFS TANKI</t>
  </si>
  <si>
    <t xml:space="preserve">AFS</t>
  </si>
  <si>
    <t xml:space="preserve">2026-08-28 00:00:00</t>
  </si>
  <si>
    <t xml:space="preserve">T-033</t>
  </si>
  <si>
    <t xml:space="preserve">33.0</t>
  </si>
  <si>
    <t xml:space="preserve">ADBLUE-1 (AUS 32)</t>
  </si>
  <si>
    <t xml:space="preserve">ADBLUE(AUS 32)</t>
  </si>
  <si>
    <t xml:space="preserve">TANK KORKULUK VE MERDİVENLER KUMLAMA BOYA YAPILMASI GEREKLİ</t>
  </si>
  <si>
    <t xml:space="preserve">T-034</t>
  </si>
  <si>
    <t xml:space="preserve">34.0</t>
  </si>
  <si>
    <t xml:space="preserve">ADBLUE-2 (AUS 32)</t>
  </si>
  <si>
    <t xml:space="preserve">T-035</t>
  </si>
  <si>
    <t xml:space="preserve">35.0</t>
  </si>
  <si>
    <t xml:space="preserve">HAMMADDE TANKI -1 ST 70 m3</t>
  </si>
  <si>
    <t xml:space="preserve">SODYUM LİGNİN LİKİT KİMYA</t>
  </si>
  <si>
    <t xml:space="preserve">16.04.2025 API 653</t>
  </si>
  <si>
    <t xml:space="preserve">2030-04-15 00:00:00</t>
  </si>
  <si>
    <t xml:space="preserve">MENHOL KUMLAMA BOYA +  TAVAN KORKULUKLARI VE ALT SÜPÜRGELİKLERİ YOK.</t>
  </si>
  <si>
    <t xml:space="preserve">T-036</t>
  </si>
  <si>
    <t xml:space="preserve">36.0</t>
  </si>
  <si>
    <t xml:space="preserve">HAMMADDE TANKI -2 ST 70 m3</t>
  </si>
  <si>
    <t xml:space="preserve">T-037</t>
  </si>
  <si>
    <t xml:space="preserve">37.0</t>
  </si>
  <si>
    <t xml:space="preserve">HAMMADDE TANKI -3 ST 70 m3</t>
  </si>
  <si>
    <t xml:space="preserve">KALSİYUM LİGNİN %50</t>
  </si>
  <si>
    <t xml:space="preserve">T-038</t>
  </si>
  <si>
    <t xml:space="preserve">38.0</t>
  </si>
  <si>
    <t xml:space="preserve">HAMMADDE TANKI -4 ST 70 m3</t>
  </si>
  <si>
    <t xml:space="preserve">T-039</t>
  </si>
  <si>
    <t xml:space="preserve">39.0</t>
  </si>
  <si>
    <t xml:space="preserve">HAMMADDE TANKI -11 ST 55 m3</t>
  </si>
  <si>
    <t xml:space="preserve">SODYUM NAFTALİN MKS</t>
  </si>
  <si>
    <t xml:space="preserve">2026-04-14 00:00:00</t>
  </si>
  <si>
    <t xml:space="preserve">T-040</t>
  </si>
  <si>
    <t xml:space="preserve">40.0</t>
  </si>
  <si>
    <t xml:space="preserve">HAMMADDE TANKI -12 ST 55 m3</t>
  </si>
  <si>
    <t xml:space="preserve">TIPA</t>
  </si>
  <si>
    <t xml:space="preserve">T-041</t>
  </si>
  <si>
    <t xml:space="preserve">41.0</t>
  </si>
  <si>
    <t xml:space="preserve">HAMMADDE TANKI -13 ST 55 m3</t>
  </si>
  <si>
    <t xml:space="preserve">MAGNEZYUM LİGNİN SULF.</t>
  </si>
  <si>
    <t xml:space="preserve">T-042</t>
  </si>
  <si>
    <t xml:space="preserve">42.0</t>
  </si>
  <si>
    <t xml:space="preserve">HAMMADDE TANKI -14 ST 55 m3</t>
  </si>
  <si>
    <t xml:space="preserve">SODYUM  NAFTALİN MKS</t>
  </si>
  <si>
    <t xml:space="preserve">T-043</t>
  </si>
  <si>
    <t xml:space="preserve">43.0</t>
  </si>
  <si>
    <t xml:space="preserve">HAMMADDE TANKI -15 ST 55 m3</t>
  </si>
  <si>
    <t xml:space="preserve">VAMCOL SUPA 700</t>
  </si>
  <si>
    <t xml:space="preserve">T-044</t>
  </si>
  <si>
    <t xml:space="preserve">44.0</t>
  </si>
  <si>
    <t xml:space="preserve">HAMMADDE TANKI -16 ST 55 m3</t>
  </si>
  <si>
    <t xml:space="preserve">MELAS</t>
  </si>
  <si>
    <t xml:space="preserve">T-045</t>
  </si>
  <si>
    <t xml:space="preserve">45.0</t>
  </si>
  <si>
    <t xml:space="preserve">HAMMADDE TANKI -17 ST 55 m3</t>
  </si>
  <si>
    <t xml:space="preserve">SODYUM NİTRAT %40</t>
  </si>
  <si>
    <t xml:space="preserve">T-046</t>
  </si>
  <si>
    <t xml:space="preserve">46.0</t>
  </si>
  <si>
    <t xml:space="preserve">MAMUL TANKI -1 ST 70 m3</t>
  </si>
  <si>
    <t xml:space="preserve">SODYUM GLLKONAT ÇÖZELTİSİ</t>
  </si>
  <si>
    <t xml:space="preserve">2030-04-01 00:00:00</t>
  </si>
  <si>
    <t xml:space="preserve">TAVAN KUMLAMA BOYA - KORKULUKLARI VE ALT SÜPÜRGELİKLERİ YOK.</t>
  </si>
  <si>
    <t xml:space="preserve">T-047</t>
  </si>
  <si>
    <t xml:space="preserve">47.0</t>
  </si>
  <si>
    <t xml:space="preserve">MAMUL TANKI -2 ST 70 m3</t>
  </si>
  <si>
    <t xml:space="preserve">POLİCON WR 6</t>
  </si>
  <si>
    <t xml:space="preserve">T-048</t>
  </si>
  <si>
    <t xml:space="preserve">48.0</t>
  </si>
  <si>
    <t xml:space="preserve">MAMUL TANKI -3 ST 70 m3</t>
  </si>
  <si>
    <t xml:space="preserve">T-049</t>
  </si>
  <si>
    <t xml:space="preserve">49.0</t>
  </si>
  <si>
    <t xml:space="preserve">MAMUL TANKI -4 ST 70 m3</t>
  </si>
  <si>
    <t xml:space="preserve">POLİCON SR 6</t>
  </si>
  <si>
    <t xml:space="preserve">T-050</t>
  </si>
  <si>
    <t xml:space="preserve">52.0</t>
  </si>
  <si>
    <t xml:space="preserve">ALKİLLENMİŞ MELAMİN TANKI</t>
  </si>
  <si>
    <t xml:space="preserve">ALKİLLENMİŞ MELAMİN</t>
  </si>
  <si>
    <t xml:space="preserve">TS EN 12285 -2 / API- 512</t>
  </si>
  <si>
    <t xml:space="preserve">25.08.2025 TS EN 12285 -2</t>
  </si>
  <si>
    <t xml:space="preserve">T-051</t>
  </si>
  <si>
    <t xml:space="preserve">53.0</t>
  </si>
  <si>
    <t xml:space="preserve">T102-1 DESTİLAT</t>
  </si>
  <si>
    <t xml:space="preserve">102.1</t>
  </si>
  <si>
    <t xml:space="preserve">DESTİLAT</t>
  </si>
  <si>
    <t xml:space="preserve">TS EN 12285 -2 / API- 513</t>
  </si>
  <si>
    <t xml:space="preserve">T-052</t>
  </si>
  <si>
    <t xml:space="preserve">54.0</t>
  </si>
  <si>
    <t xml:space="preserve">VAKUM SUYU BESLEME TANKI</t>
  </si>
  <si>
    <t xml:space="preserve">ISU SUYU</t>
  </si>
  <si>
    <t xml:space="preserve">TS EN 12285 -2 / API- 514</t>
  </si>
  <si>
    <t xml:space="preserve">T-053</t>
  </si>
  <si>
    <t xml:space="preserve">55.0</t>
  </si>
  <si>
    <t xml:space="preserve">CHILLER TANKI</t>
  </si>
  <si>
    <t xml:space="preserve">CHİLLER SUYU</t>
  </si>
  <si>
    <t xml:space="preserve">TS EN 12285 -2 / API- 515</t>
  </si>
  <si>
    <t xml:space="preserve">2026-09-02 00:00:00</t>
  </si>
  <si>
    <t xml:space="preserve">ANKRAJ PLAKALARI SABİTLENMELİDİR.</t>
  </si>
  <si>
    <t xml:space="preserve">T-054</t>
  </si>
  <si>
    <t xml:space="preserve">65.0</t>
  </si>
  <si>
    <t xml:space="preserve">T101-1 DESTİLAT</t>
  </si>
  <si>
    <t xml:space="preserve">101.1</t>
  </si>
  <si>
    <t xml:space="preserve">DAHA ÖNCE KONTROL YAPILMADI. MENHOL ENTEGRASYONLARI DEVAM ETMEKTEDİR.</t>
  </si>
  <si>
    <t xml:space="preserve">T-055</t>
  </si>
  <si>
    <t xml:space="preserve">66.0</t>
  </si>
  <si>
    <t xml:space="preserve">T103-1 DESTİLAT</t>
  </si>
  <si>
    <t xml:space="preserve">103.1</t>
  </si>
  <si>
    <t xml:space="preserve">T-056</t>
  </si>
  <si>
    <t xml:space="preserve">67.0</t>
  </si>
  <si>
    <t xml:space="preserve">T104-1 DESTİLAT</t>
  </si>
  <si>
    <t xml:space="preserve">104.1</t>
  </si>
  <si>
    <t xml:space="preserve">T-057</t>
  </si>
  <si>
    <t xml:space="preserve">68.0</t>
  </si>
  <si>
    <t xml:space="preserve">T105-1 DESTİLAT</t>
  </si>
  <si>
    <t xml:space="preserve">105.1</t>
  </si>
  <si>
    <t xml:space="preserve">T-058</t>
  </si>
  <si>
    <t xml:space="preserve">69.0</t>
  </si>
  <si>
    <t xml:space="preserve">T106-1 DESTİLAT</t>
  </si>
  <si>
    <t xml:space="preserve">106.1</t>
  </si>
  <si>
    <t xml:space="preserve">T-059</t>
  </si>
  <si>
    <t xml:space="preserve">ANA KOSTIK TANKI</t>
  </si>
  <si>
    <t xml:space="preserve">703</t>
  </si>
  <si>
    <t xml:space="preserve">T-060</t>
  </si>
  <si>
    <t xml:space="preserve">602</t>
  </si>
  <si>
    <t xml:space="preserve">T-061</t>
  </si>
  <si>
    <t xml:space="preserve">201</t>
  </si>
  <si>
    <t xml:space="preserve">T-062</t>
  </si>
  <si>
    <t xml:space="preserve">301</t>
  </si>
  <si>
    <t xml:space="preserve">T-063</t>
  </si>
  <si>
    <t xml:space="preserve">302</t>
  </si>
  <si>
    <t xml:space="preserve">T-064</t>
  </si>
  <si>
    <t xml:space="preserve">501</t>
  </si>
  <si>
    <t xml:space="preserve">T-065</t>
  </si>
  <si>
    <t xml:space="preserve">502</t>
  </si>
  <si>
    <t xml:space="preserve">T-066</t>
  </si>
  <si>
    <t xml:space="preserve">101</t>
  </si>
  <si>
    <t xml:space="preserve">T-067</t>
  </si>
  <si>
    <t xml:space="preserve">300</t>
  </si>
  <si>
    <t xml:space="preserve">T-068</t>
  </si>
  <si>
    <t xml:space="preserve">601</t>
  </si>
  <si>
    <t xml:space="preserve">T-069</t>
  </si>
  <si>
    <t xml:space="preserve">702</t>
  </si>
  <si>
    <t xml:space="preserve">-</t>
  </si>
  <si>
    <t xml:space="preserve">T-070</t>
  </si>
  <si>
    <t xml:space="preserve">705</t>
  </si>
  <si>
    <t xml:space="preserve">ATIK SU</t>
  </si>
  <si>
    <t xml:space="preserve">T-071</t>
  </si>
  <si>
    <t xml:space="preserve">704</t>
  </si>
  <si>
    <t xml:space="preserve">KONDENS</t>
  </si>
  <si>
    <t xml:space="preserve">T-072</t>
  </si>
  <si>
    <t xml:space="preserve">701</t>
  </si>
  <si>
    <t xml:space="preserve">SU</t>
  </si>
  <si>
    <t xml:space="preserve">T-073</t>
  </si>
  <si>
    <t xml:space="preserve">102</t>
  </si>
  <si>
    <t xml:space="preserve">T-074</t>
  </si>
  <si>
    <t xml:space="preserve">Reçine Mamul Tank</t>
  </si>
  <si>
    <t xml:space="preserve">T-075</t>
  </si>
  <si>
    <t xml:space="preserve">T-076</t>
  </si>
  <si>
    <t xml:space="preserve">T-077</t>
  </si>
  <si>
    <t xml:space="preserve">T-078</t>
  </si>
  <si>
    <t xml:space="preserve">T-079</t>
  </si>
  <si>
    <t xml:space="preserve">T-080</t>
  </si>
  <si>
    <t xml:space="preserve">T-081</t>
  </si>
  <si>
    <t xml:space="preserve">T-082</t>
  </si>
  <si>
    <t xml:space="preserve">T-083</t>
  </si>
  <si>
    <t xml:space="preserve">T-084</t>
  </si>
  <si>
    <t xml:space="preserve">T-085</t>
  </si>
  <si>
    <t xml:space="preserve">T-086</t>
  </si>
  <si>
    <t xml:space="preserve">T-087</t>
  </si>
  <si>
    <t xml:space="preserve">T-088</t>
  </si>
  <si>
    <t xml:space="preserve">T-089</t>
  </si>
  <si>
    <t xml:space="preserve">T-090</t>
  </si>
  <si>
    <t xml:space="preserve">Dilovası - Yapı Kim Tank</t>
  </si>
  <si>
    <t xml:space="preserve">1</t>
  </si>
  <si>
    <t xml:space="preserve">T-091</t>
  </si>
  <si>
    <t xml:space="preserve">2</t>
  </si>
  <si>
    <t xml:space="preserve">T-092</t>
  </si>
  <si>
    <t xml:space="preserve">3</t>
  </si>
  <si>
    <t xml:space="preserve">T-093</t>
  </si>
  <si>
    <t xml:space="preserve">4</t>
  </si>
  <si>
    <t xml:space="preserve">T-094</t>
  </si>
  <si>
    <t xml:space="preserve">11</t>
  </si>
  <si>
    <t xml:space="preserve">T-095</t>
  </si>
  <si>
    <t xml:space="preserve">12</t>
  </si>
  <si>
    <t xml:space="preserve">T-096</t>
  </si>
  <si>
    <t xml:space="preserve">13</t>
  </si>
  <si>
    <t xml:space="preserve">T-097</t>
  </si>
  <si>
    <t xml:space="preserve">14</t>
  </si>
  <si>
    <t xml:space="preserve">T-098</t>
  </si>
  <si>
    <t xml:space="preserve">15</t>
  </si>
  <si>
    <t xml:space="preserve">T-099</t>
  </si>
  <si>
    <t xml:space="preserve">16</t>
  </si>
  <si>
    <t xml:space="preserve">T-100</t>
  </si>
  <si>
    <t xml:space="preserve">17</t>
  </si>
  <si>
    <t xml:space="preserve">T-101</t>
  </si>
  <si>
    <t xml:space="preserve">T-102</t>
  </si>
  <si>
    <t xml:space="preserve">T-103</t>
  </si>
  <si>
    <t xml:space="preserve">T-104</t>
  </si>
  <si>
    <t xml:space="preserve">T-105</t>
  </si>
  <si>
    <t xml:space="preserve">Aus Tank Sahası</t>
  </si>
  <si>
    <t xml:space="preserve">T-106</t>
  </si>
  <si>
    <t xml:space="preserve">T-107</t>
  </si>
  <si>
    <t xml:space="preserve">T-108</t>
  </si>
  <si>
    <t xml:space="preserve">Reçine Yardımcı Tanklar</t>
  </si>
  <si>
    <t xml:space="preserve">2025-08-25 00:00:00</t>
  </si>
  <si>
    <t xml:space="preserve">T-109</t>
  </si>
  <si>
    <t xml:space="preserve">T-110</t>
  </si>
  <si>
    <t xml:space="preserve">T-111</t>
  </si>
  <si>
    <t xml:space="preserve">T-112</t>
  </si>
  <si>
    <t xml:space="preserve">T-113</t>
  </si>
  <si>
    <t xml:space="preserve">T-114</t>
  </si>
  <si>
    <t xml:space="preserve">T-115</t>
  </si>
  <si>
    <t xml:space="preserve">T-116</t>
  </si>
  <si>
    <t xml:space="preserve">T-117</t>
  </si>
  <si>
    <t xml:space="preserve">Deniz suyu ham su tankı</t>
  </si>
  <si>
    <t xml:space="preserve">Deniz Suyu</t>
  </si>
  <si>
    <t xml:space="preserve">Karbon Çelik</t>
  </si>
  <si>
    <t xml:space="preserve">14.08.2025</t>
  </si>
  <si>
    <t xml:space="preserve">2510054-R32</t>
  </si>
  <si>
    <t xml:space="preserve">T-118</t>
  </si>
  <si>
    <t xml:space="preserve">Filtre edilmiş ham su tankı</t>
  </si>
  <si>
    <t xml:space="preserve">Filtrelenmiş Deniz Suyu</t>
  </si>
  <si>
    <t xml:space="preserve">2510054-R33</t>
  </si>
  <si>
    <t xml:space="preserve">T-119</t>
  </si>
  <si>
    <t xml:space="preserve">Ultra filtre edilmiş ham su tankı</t>
  </si>
  <si>
    <t xml:space="preserve">Ultra Filtre Deniz Suyu</t>
  </si>
  <si>
    <t xml:space="preserve">2510054-R34</t>
  </si>
  <si>
    <t xml:space="preserve">T-120</t>
  </si>
  <si>
    <t xml:space="preserve">Yumuşak su tankı (Oksit)</t>
  </si>
  <si>
    <t xml:space="preserve">Yumuşak Su</t>
  </si>
  <si>
    <t xml:space="preserve">2510054-R35</t>
  </si>
  <si>
    <t xml:space="preserve">T-121</t>
  </si>
  <si>
    <t xml:space="preserve">5</t>
  </si>
  <si>
    <t xml:space="preserve">PVA -PA Ürün Suyu Tankı</t>
  </si>
  <si>
    <t xml:space="preserve">T-122</t>
  </si>
  <si>
    <t xml:space="preserve">6</t>
  </si>
  <si>
    <t xml:space="preserve">Boya Ürün Suyu Tankı</t>
  </si>
  <si>
    <t xml:space="preserve">T-123</t>
  </si>
  <si>
    <t xml:space="preserve">7</t>
  </si>
  <si>
    <t xml:space="preserve">Soğutma suyu tankı</t>
  </si>
  <si>
    <t xml:space="preserve">Su</t>
  </si>
  <si>
    <t xml:space="preserve">API 650 / API 653</t>
  </si>
  <si>
    <t xml:space="preserve">12.02.2025</t>
  </si>
  <si>
    <t xml:space="preserve">251 0014-R02</t>
  </si>
  <si>
    <t xml:space="preserve">T-124</t>
  </si>
  <si>
    <t xml:space="preserve">8</t>
  </si>
  <si>
    <t xml:space="preserve">Kullanma suyu tankı</t>
  </si>
  <si>
    <t xml:space="preserve">251 0014-R01</t>
  </si>
  <si>
    <t xml:space="preserve">T-125</t>
  </si>
  <si>
    <t xml:space="preserve">9</t>
  </si>
  <si>
    <t xml:space="preserve">Ön çöktürme tankı 1</t>
  </si>
  <si>
    <t xml:space="preserve">Atık Su / Çamur</t>
  </si>
  <si>
    <t xml:space="preserve">2510054-R51</t>
  </si>
  <si>
    <t xml:space="preserve">T-126</t>
  </si>
  <si>
    <t xml:space="preserve">10</t>
  </si>
  <si>
    <t xml:space="preserve">Ön çöktürme tankı 2</t>
  </si>
  <si>
    <t xml:space="preserve">T-127</t>
  </si>
  <si>
    <t xml:space="preserve">DİĞER YRD. TANKLAR</t>
  </si>
  <si>
    <t xml:space="preserve">Motorin Tankı (UN 1202)</t>
  </si>
  <si>
    <t xml:space="preserve">Bilinmiyor</t>
  </si>
  <si>
    <t xml:space="preserve">Motorin</t>
  </si>
  <si>
    <t xml:space="preserve">16.04.2025</t>
  </si>
  <si>
    <t xml:space="preserve">2510054-R21</t>
  </si>
  <si>
    <t xml:space="preserve">T-128</t>
  </si>
  <si>
    <t xml:space="preserve">Sıcak Su Tankı (Etiket No: 32824)</t>
  </si>
  <si>
    <t xml:space="preserve">22 m³ (Etiket: 25 m³)</t>
  </si>
  <si>
    <t xml:space="preserve">25.08.2025</t>
  </si>
  <si>
    <t xml:space="preserve">2510054-R40</t>
  </si>
  <si>
    <t xml:space="preserve">T-129</t>
  </si>
  <si>
    <t xml:space="preserve">Deiyonize Su Tankı</t>
  </si>
  <si>
    <t xml:space="preserve">Deiyonize Su</t>
  </si>
  <si>
    <t xml:space="preserve">2510054-R36</t>
  </si>
  <si>
    <t xml:space="preserve">T-130</t>
  </si>
  <si>
    <t xml:space="preserve">Deiyonize Su Tankı 2</t>
  </si>
  <si>
    <t xml:space="preserve">2510054-R37</t>
  </si>
  <si>
    <t xml:space="preserve">T-131</t>
  </si>
  <si>
    <t xml:space="preserve">Kostik Tankı</t>
  </si>
  <si>
    <t xml:space="preserve">Kostik</t>
  </si>
  <si>
    <t xml:space="preserve">T-132</t>
  </si>
  <si>
    <t xml:space="preserve">Atık Su Tankı</t>
  </si>
  <si>
    <t xml:space="preserve">T-133</t>
  </si>
  <si>
    <t xml:space="preserve">Dengeleme Tank-1</t>
  </si>
  <si>
    <t xml:space="preserve">T-134</t>
  </si>
  <si>
    <t xml:space="preserve">18</t>
  </si>
  <si>
    <t xml:space="preserve">Dengeleme Tank-2</t>
  </si>
  <si>
    <t xml:space="preserve">T-135</t>
  </si>
  <si>
    <t xml:space="preserve">19</t>
  </si>
  <si>
    <t xml:space="preserve">Koagulasyon Tank</t>
  </si>
  <si>
    <t xml:space="preserve">T-136</t>
  </si>
  <si>
    <t xml:space="preserve">20</t>
  </si>
  <si>
    <t xml:space="preserve">Flokulasyon Tankı</t>
  </si>
  <si>
    <t xml:space="preserve">T-137</t>
  </si>
  <si>
    <t xml:space="preserve">21</t>
  </si>
  <si>
    <t xml:space="preserve">Son Çöktürme Tank</t>
  </si>
  <si>
    <t xml:space="preserve">T-138</t>
  </si>
  <si>
    <t xml:space="preserve">22</t>
  </si>
  <si>
    <t xml:space="preserve">Son Çöktürme Tank -2</t>
  </si>
  <si>
    <t xml:space="preserve">T-139</t>
  </si>
  <si>
    <t xml:space="preserve">23</t>
  </si>
  <si>
    <t xml:space="preserve">Çamur Yoğunlaştırma Tankı</t>
  </si>
  <si>
    <t xml:space="preserve">TANK MUAYENİ VE KONTROL KAYIT DEFTERİ</t>
  </si>
  <si>
    <t xml:space="preserve">LOG_ID</t>
  </si>
  <si>
    <t xml:space="preserve">Muayene_Tarihi</t>
  </si>
  <si>
    <t xml:space="preserve">Muayene_Türü</t>
  </si>
  <si>
    <t xml:space="preserve">Muayene_Kurulusu</t>
  </si>
  <si>
    <t xml:space="preserve">Bulgular</t>
  </si>
  <si>
    <t xml:space="preserve">Önerilen_Aksiyonlar</t>
  </si>
  <si>
    <t xml:space="preserve">Bir_Sonraki_Tarih</t>
  </si>
  <si>
    <t xml:space="preserve">Maliyet_TL</t>
  </si>
  <si>
    <t xml:space="preserve">LOG-001</t>
  </si>
  <si>
    <t xml:space="preserve">METANOL TANKI (303)</t>
  </si>
  <si>
    <t xml:space="preserve">API 653 Out-of-Service</t>
  </si>
  <si>
    <t xml:space="preserve">Akredite Muayene Firması</t>
  </si>
  <si>
    <t xml:space="preserve">Tank komple mekanik bakıma alınmalı; kumlama-boya; korozyon oluşumu çok şiddetli</t>
  </si>
  <si>
    <t xml:space="preserve">Kumlama boya yaptırılacak; korozyon derinlik ölçümü</t>
  </si>
  <si>
    <t xml:space="preserve">28.08.2030</t>
  </si>
  <si>
    <t xml:space="preserve">LOG-002</t>
  </si>
  <si>
    <t xml:space="preserve">Korkuluk ve merdivenler kumlama boya yapılması gerekli</t>
  </si>
  <si>
    <t xml:space="preserve">Korkuluk kumlama boya</t>
  </si>
  <si>
    <t xml:space="preserve">LOG-003</t>
  </si>
  <si>
    <t xml:space="preserve">ANA KOSTİK TANKI (st61m3)</t>
  </si>
  <si>
    <t xml:space="preserve">24.03.2025</t>
  </si>
  <si>
    <t xml:space="preserve">Yıllık Kontrol</t>
  </si>
  <si>
    <t xml:space="preserve">24.03.2026</t>
  </si>
  <si>
    <t xml:space="preserve">DOLUM HORTUMLARI VE TRANSFER EKİPMANLARI</t>
  </si>
  <si>
    <t xml:space="preserve">HORTUM_ID</t>
  </si>
  <si>
    <t xml:space="preserve">Etiket/Seri_No</t>
  </si>
  <si>
    <t xml:space="preserve">Dolum_Noktası</t>
  </si>
  <si>
    <t xml:space="preserve">Hortum_Tipi</t>
  </si>
  <si>
    <t xml:space="preserve">İç_Malzeme</t>
  </si>
  <si>
    <t xml:space="preserve">Dış_Malzeme</t>
  </si>
  <si>
    <t xml:space="preserve">Çap_mm</t>
  </si>
  <si>
    <t xml:space="preserve">Uzunluk_m</t>
  </si>
  <si>
    <t xml:space="preserve">Bağlantı_Tipi</t>
  </si>
  <si>
    <t xml:space="preserve">Basınç_Sınıfı_bar</t>
  </si>
  <si>
    <t xml:space="preserve">Kim_Uyumluluk</t>
  </si>
  <si>
    <t xml:space="preserve">Üretici</t>
  </si>
  <si>
    <t xml:space="preserve">Üretim_Tarihi</t>
  </si>
  <si>
    <t xml:space="preserve">Devreye_Tarihi</t>
  </si>
  <si>
    <t xml:space="preserve">Hasar_Kaydı</t>
  </si>
  <si>
    <t xml:space="preserve">Son_Değişim_Tarihi</t>
  </si>
  <si>
    <t xml:space="preserve">Bu sayfa boş şablon olarak sunulmuştur. Gerçek hortum verilerini aşağıya giriniz.</t>
  </si>
  <si>
    <t xml:space="preserve">EKİPMAN ENVANTERİ</t>
  </si>
  <si>
    <t xml:space="preserve">EKP_ID</t>
  </si>
  <si>
    <t xml:space="preserve">Ekipman_Kodu</t>
  </si>
  <si>
    <t xml:space="preserve">Ekipman_Adı</t>
  </si>
  <si>
    <t xml:space="preserve">Ekipman_Tipi</t>
  </si>
  <si>
    <t xml:space="preserve">Sistem</t>
  </si>
  <si>
    <t xml:space="preserve">Model</t>
  </si>
  <si>
    <t xml:space="preserve">Seri_No</t>
  </si>
  <si>
    <t xml:space="preserve">Teknik_Özellikler</t>
  </si>
  <si>
    <t xml:space="preserve">Son_Bakım</t>
  </si>
  <si>
    <t xml:space="preserve">Sonraki_Bakım</t>
  </si>
  <si>
    <t xml:space="preserve">Bakım_Sıklığı</t>
  </si>
  <si>
    <t xml:space="preserve">Açık_Bakım_Bildirimleri</t>
  </si>
  <si>
    <t xml:space="preserve">Bakım_Maliyet_TL</t>
  </si>
  <si>
    <t xml:space="preserve">Doküman_Linki</t>
  </si>
  <si>
    <t xml:space="preserve">Bu sayfa boş şablon olarak sunulmuştur. SAP ekipman numaralarını koruyarak verilerinizi giriniz.</t>
  </si>
  <si>
    <t xml:space="preserve">BAKIM VE ONARIM GEÇMİŞİ</t>
  </si>
  <si>
    <t xml:space="preserve">BAK_ID</t>
  </si>
  <si>
    <t xml:space="preserve">Bakım_Tarihi</t>
  </si>
  <si>
    <t xml:space="preserve">Bakım_Türü</t>
  </si>
  <si>
    <t xml:space="preserve">Yapan / Firma</t>
  </si>
  <si>
    <t xml:space="preserve">İş_Emri_No</t>
  </si>
  <si>
    <t xml:space="preserve">BÜTÇE, MALİYET VE FİNANSAL TAKİP</t>
  </si>
  <si>
    <t xml:space="preserve">Kaynak: SAP Fatura Bazlı Detay — Ocak-Mart 2025 gerçekleşen giderler</t>
  </si>
  <si>
    <t xml:space="preserve">KAY_ID</t>
  </si>
  <si>
    <t xml:space="preserve">Masraf_Yeri_Kodu</t>
  </si>
  <si>
    <t xml:space="preserve">Masraf_Yeri_Adı</t>
  </si>
  <si>
    <t xml:space="preserve">Ana_Hesap_Kodu</t>
  </si>
  <si>
    <t xml:space="preserve">Gider_Kategorisi</t>
  </si>
  <si>
    <t xml:space="preserve">Tutar_TRY</t>
  </si>
  <si>
    <t xml:space="preserve">Para_Birimi</t>
  </si>
  <si>
    <t xml:space="preserve">Kayıt_Tarihi</t>
  </si>
  <si>
    <t xml:space="preserve">Belge_Tarihi</t>
  </si>
  <si>
    <t xml:space="preserve">Metin</t>
  </si>
  <si>
    <t xml:space="preserve">Kullanıcı</t>
  </si>
  <si>
    <t xml:space="preserve">Satıcı_Adı</t>
  </si>
  <si>
    <t xml:space="preserve">Sipariş_No</t>
  </si>
  <si>
    <t xml:space="preserve">Sipariş_Adı</t>
  </si>
  <si>
    <t xml:space="preserve">KAY-0001</t>
  </si>
  <si>
    <t xml:space="preserve">2273020004</t>
  </si>
  <si>
    <t xml:space="preserve">7300003001</t>
  </si>
  <si>
    <t xml:space="preserve">YAKITLAR</t>
  </si>
  <si>
    <t xml:space="preserve">7532</t>
  </si>
  <si>
    <t xml:space="preserve">2025-01-31 00:00:00</t>
  </si>
  <si>
    <t xml:space="preserve">930-T14</t>
  </si>
  <si>
    <t xml:space="preserve">SKIZILTAS</t>
  </si>
  <si>
    <t xml:space="preserve">A-34ZB611</t>
  </si>
  <si>
    <t xml:space="preserve">KAY-0002</t>
  </si>
  <si>
    <t xml:space="preserve">2273020007</t>
  </si>
  <si>
    <t xml:space="preserve">KAZAN DAIRESI</t>
  </si>
  <si>
    <t xml:space="preserve">18892</t>
  </si>
  <si>
    <t xml:space="preserve">2025-02-28 00:00:00</t>
  </si>
  <si>
    <t xml:space="preserve">KAY-0003</t>
  </si>
  <si>
    <t xml:space="preserve">7534</t>
  </si>
  <si>
    <t xml:space="preserve">KAY-0004</t>
  </si>
  <si>
    <t xml:space="preserve">18890</t>
  </si>
  <si>
    <t xml:space="preserve">KAY-0005</t>
  </si>
  <si>
    <t xml:space="preserve">7300003002</t>
  </si>
  <si>
    <t xml:space="preserve">DOĞALGAZ GİDERİ</t>
  </si>
  <si>
    <t xml:space="preserve">20346</t>
  </si>
  <si>
    <t xml:space="preserve">PLG2025000021122</t>
  </si>
  <si>
    <t xml:space="preserve">SDEMIRTAS</t>
  </si>
  <si>
    <t xml:space="preserve">PALGAZ DOĞAL GAZ DAĞITIM SAN.VE TİC</t>
  </si>
  <si>
    <t xml:space="preserve">KAY-0006</t>
  </si>
  <si>
    <t xml:space="preserve">8761</t>
  </si>
  <si>
    <t xml:space="preserve">PLG2025000009875</t>
  </si>
  <si>
    <t xml:space="preserve">KAY-0007</t>
  </si>
  <si>
    <t xml:space="preserve">2273020005</t>
  </si>
  <si>
    <t xml:space="preserve">KOMPRESOR HIZMETLERI</t>
  </si>
  <si>
    <t xml:space="preserve">7300003003</t>
  </si>
  <si>
    <t xml:space="preserve">ELEKTRIK SARFI</t>
  </si>
  <si>
    <t xml:space="preserve">1000000182</t>
  </si>
  <si>
    <t xml:space="preserve">2025-02-14 00:00:00</t>
  </si>
  <si>
    <t xml:space="preserve">SDURSUN</t>
  </si>
  <si>
    <t xml:space="preserve">KAY-0008</t>
  </si>
  <si>
    <t xml:space="preserve">15824</t>
  </si>
  <si>
    <t xml:space="preserve">KAY-0009</t>
  </si>
  <si>
    <t xml:space="preserve">2273020006</t>
  </si>
  <si>
    <t xml:space="preserve">JENERATOR HIZMETLERI</t>
  </si>
  <si>
    <t xml:space="preserve">20373</t>
  </si>
  <si>
    <t xml:space="preserve">KAY-0010</t>
  </si>
  <si>
    <t xml:space="preserve">2273020008</t>
  </si>
  <si>
    <t xml:space="preserve">KAY-0011</t>
  </si>
  <si>
    <t xml:space="preserve">KAY-0012</t>
  </si>
  <si>
    <t xml:space="preserve">KAY-0013</t>
  </si>
  <si>
    <t xml:space="preserve">2272000003</t>
  </si>
  <si>
    <t xml:space="preserve">SU URETIM</t>
  </si>
  <si>
    <t xml:space="preserve">KAY-0014</t>
  </si>
  <si>
    <t xml:space="preserve">8840</t>
  </si>
  <si>
    <t xml:space="preserve">KAY-0015</t>
  </si>
  <si>
    <t xml:space="preserve">KAY-0016</t>
  </si>
  <si>
    <t xml:space="preserve">15830</t>
  </si>
  <si>
    <t xml:space="preserve">KAY-0017</t>
  </si>
  <si>
    <t xml:space="preserve">2273020003</t>
  </si>
  <si>
    <t xml:space="preserve">TEKNIK ORTAK HIZMETL</t>
  </si>
  <si>
    <t xml:space="preserve">KAY-0018</t>
  </si>
  <si>
    <t xml:space="preserve">KAY-0019</t>
  </si>
  <si>
    <t xml:space="preserve">KAY-0020</t>
  </si>
  <si>
    <t xml:space="preserve">KAY-0021</t>
  </si>
  <si>
    <t xml:space="preserve">KAY-0022</t>
  </si>
  <si>
    <t xml:space="preserve">KAY-0023</t>
  </si>
  <si>
    <t xml:space="preserve">KAY-0024</t>
  </si>
  <si>
    <t xml:space="preserve">KAY-0025</t>
  </si>
  <si>
    <t xml:space="preserve">KAY-0026</t>
  </si>
  <si>
    <t xml:space="preserve">KAY-0027</t>
  </si>
  <si>
    <t xml:space="preserve">KAY-0028</t>
  </si>
  <si>
    <t xml:space="preserve">KAY-0029</t>
  </si>
  <si>
    <t xml:space="preserve">KAY-0030</t>
  </si>
  <si>
    <t xml:space="preserve">KAY-0031</t>
  </si>
  <si>
    <t xml:space="preserve">KAY-0032</t>
  </si>
  <si>
    <t xml:space="preserve">KAY-0033</t>
  </si>
  <si>
    <t xml:space="preserve">KAY-0034</t>
  </si>
  <si>
    <t xml:space="preserve">KAY-0035</t>
  </si>
  <si>
    <t xml:space="preserve">KAY-0036</t>
  </si>
  <si>
    <t xml:space="preserve">KAY-0037</t>
  </si>
  <si>
    <t xml:space="preserve">KAY-0038</t>
  </si>
  <si>
    <t xml:space="preserve">KAY-0039</t>
  </si>
  <si>
    <t xml:space="preserve">KAY-0040</t>
  </si>
  <si>
    <t xml:space="preserve">KAY-0041</t>
  </si>
  <si>
    <t xml:space="preserve">KAY-0042</t>
  </si>
  <si>
    <t xml:space="preserve">7300003004</t>
  </si>
  <si>
    <t xml:space="preserve">SU SARFİYATI</t>
  </si>
  <si>
    <t xml:space="preserve">20242</t>
  </si>
  <si>
    <t xml:space="preserve">IYS2025000000562</t>
  </si>
  <si>
    <t xml:space="preserve">KOCAELİ GEBZE DİLOVASI (OTOMATİK)</t>
  </si>
  <si>
    <t xml:space="preserve">KAY-0043</t>
  </si>
  <si>
    <t xml:space="preserve">9082</t>
  </si>
  <si>
    <t xml:space="preserve">IYS2025000000014</t>
  </si>
  <si>
    <t xml:space="preserve">KAY-0044</t>
  </si>
  <si>
    <t xml:space="preserve">KAY-0045</t>
  </si>
  <si>
    <t xml:space="preserve">23528</t>
  </si>
  <si>
    <t xml:space="preserve">2025-03-06 00:00:00</t>
  </si>
  <si>
    <t xml:space="preserve">VERBR: Borç/alacak - tüketim</t>
  </si>
  <si>
    <t xml:space="preserve">KAY-0046</t>
  </si>
  <si>
    <t xml:space="preserve">KAY-0047</t>
  </si>
  <si>
    <t xml:space="preserve">20162</t>
  </si>
  <si>
    <t xml:space="preserve">930-Y32</t>
  </si>
  <si>
    <t xml:space="preserve">EKARADEMIR</t>
  </si>
  <si>
    <t xml:space="preserve">KAY-0048</t>
  </si>
  <si>
    <t xml:space="preserve">KAY-0049</t>
  </si>
  <si>
    <t xml:space="preserve">KAY-0050</t>
  </si>
  <si>
    <t xml:space="preserve">KAY-0051</t>
  </si>
  <si>
    <t xml:space="preserve">KAY-0052</t>
  </si>
  <si>
    <t xml:space="preserve">13831</t>
  </si>
  <si>
    <t xml:space="preserve">2025-02-07 00:00:00</t>
  </si>
  <si>
    <t xml:space="preserve">KAY-0053</t>
  </si>
  <si>
    <t xml:space="preserve">KAY-0054</t>
  </si>
  <si>
    <t xml:space="preserve">1000000253</t>
  </si>
  <si>
    <t xml:space="preserve">su sarfı</t>
  </si>
  <si>
    <t xml:space="preserve">KAY-0055</t>
  </si>
  <si>
    <t xml:space="preserve">23431</t>
  </si>
  <si>
    <t xml:space="preserve">KAY-0056</t>
  </si>
  <si>
    <t xml:space="preserve">KAY-0057</t>
  </si>
  <si>
    <t xml:space="preserve">KAY-0058</t>
  </si>
  <si>
    <t xml:space="preserve">13778</t>
  </si>
  <si>
    <t xml:space="preserve">KAY-0059</t>
  </si>
  <si>
    <t xml:space="preserve">KAY-0060</t>
  </si>
  <si>
    <t xml:space="preserve">KAY-0061</t>
  </si>
  <si>
    <t xml:space="preserve">8822</t>
  </si>
  <si>
    <t xml:space="preserve">KAY-0062</t>
  </si>
  <si>
    <t xml:space="preserve">1000000169</t>
  </si>
  <si>
    <t xml:space="preserve">KAY-0063</t>
  </si>
  <si>
    <t xml:space="preserve">KAY-0064</t>
  </si>
  <si>
    <t xml:space="preserve">7300003006</t>
  </si>
  <si>
    <t xml:space="preserve">TEMIZLIK GIDERLERI</t>
  </si>
  <si>
    <t xml:space="preserve">18897</t>
  </si>
  <si>
    <t xml:space="preserve">2025-02-25 00:00:00</t>
  </si>
  <si>
    <t xml:space="preserve">930-T04</t>
  </si>
  <si>
    <t xml:space="preserve">TAMBAR2</t>
  </si>
  <si>
    <t xml:space="preserve">KAY-0065</t>
  </si>
  <si>
    <t xml:space="preserve">17101</t>
  </si>
  <si>
    <t xml:space="preserve">2025-02-21 00:00:00</t>
  </si>
  <si>
    <t xml:space="preserve">KAY-0066</t>
  </si>
  <si>
    <t xml:space="preserve">17886</t>
  </si>
  <si>
    <t xml:space="preserve">KAY-0067</t>
  </si>
  <si>
    <t xml:space="preserve">13917</t>
  </si>
  <si>
    <t xml:space="preserve">GSERT</t>
  </si>
  <si>
    <t xml:space="preserve">KAY-0068</t>
  </si>
  <si>
    <t xml:space="preserve">4157</t>
  </si>
  <si>
    <t xml:space="preserve">2025-01-21 00:00:00</t>
  </si>
  <si>
    <t xml:space="preserve">KAY-0069</t>
  </si>
  <si>
    <t xml:space="preserve">16282</t>
  </si>
  <si>
    <t xml:space="preserve">2025-02-18 00:00:00</t>
  </si>
  <si>
    <t xml:space="preserve">KAY-0070</t>
  </si>
  <si>
    <t xml:space="preserve">6204</t>
  </si>
  <si>
    <t xml:space="preserve">2025-01-28 00:00:00</t>
  </si>
  <si>
    <t xml:space="preserve">KAY-0071</t>
  </si>
  <si>
    <t xml:space="preserve">3837</t>
  </si>
  <si>
    <t xml:space="preserve">2025-01-20 00:00:00</t>
  </si>
  <si>
    <t xml:space="preserve">KAY-0072</t>
  </si>
  <si>
    <t xml:space="preserve">7300003007</t>
  </si>
  <si>
    <t xml:space="preserve">ISLETME MALZEME GIDERLERI</t>
  </si>
  <si>
    <t xml:space="preserve">3015</t>
  </si>
  <si>
    <t xml:space="preserve">2025-01-15 00:00:00</t>
  </si>
  <si>
    <t xml:space="preserve">930-T18</t>
  </si>
  <si>
    <t xml:space="preserve">KAY-0073</t>
  </si>
  <si>
    <t xml:space="preserve">19050</t>
  </si>
  <si>
    <t xml:space="preserve">KAY-0074</t>
  </si>
  <si>
    <t xml:space="preserve">3921</t>
  </si>
  <si>
    <t xml:space="preserve">930-T10</t>
  </si>
  <si>
    <t xml:space="preserve">KAY-0075</t>
  </si>
  <si>
    <t xml:space="preserve">930-T17</t>
  </si>
  <si>
    <t xml:space="preserve">KAY-0076</t>
  </si>
  <si>
    <t xml:space="preserve">15437</t>
  </si>
  <si>
    <t xml:space="preserve">2025-02-13 00:00:00</t>
  </si>
  <si>
    <t xml:space="preserve">KAY-0077</t>
  </si>
  <si>
    <t xml:space="preserve">4739</t>
  </si>
  <si>
    <t xml:space="preserve">2025-01-23 00:00:00</t>
  </si>
  <si>
    <t xml:space="preserve">5000035447   T180301 MEBRAN DENİZ SUYU (RO1-RO2) H</t>
  </si>
  <si>
    <t xml:space="preserve">KAY-0078</t>
  </si>
  <si>
    <t xml:space="preserve">908</t>
  </si>
  <si>
    <t xml:space="preserve">2025-01-07 00:00:00</t>
  </si>
  <si>
    <t xml:space="preserve">KAY-0079</t>
  </si>
  <si>
    <t xml:space="preserve">3818</t>
  </si>
  <si>
    <t xml:space="preserve">2025-01-08 00:00:00</t>
  </si>
  <si>
    <t xml:space="preserve">KRT2025000000116</t>
  </si>
  <si>
    <t xml:space="preserve">KARTEPE KİMYA END.VE NAK.SAN.LTD.ŞT</t>
  </si>
  <si>
    <t xml:space="preserve">KAY-0080</t>
  </si>
  <si>
    <t xml:space="preserve">9202</t>
  </si>
  <si>
    <t xml:space="preserve">T180301 MEBRAN DENİZ SUYU (RO1-RO2) Dönemsel kayıt</t>
  </si>
  <si>
    <t xml:space="preserve">FSARAK</t>
  </si>
  <si>
    <t xml:space="preserve">KAY-0081</t>
  </si>
  <si>
    <t xml:space="preserve">14398</t>
  </si>
  <si>
    <t xml:space="preserve">2025-02-06 00:00:00</t>
  </si>
  <si>
    <t xml:space="preserve">AG02025000000018</t>
  </si>
  <si>
    <t xml:space="preserve">AQUAGEN SU ARITMA SİSTEMLERİ SAN. T</t>
  </si>
  <si>
    <t xml:space="preserve">KAY-0082</t>
  </si>
  <si>
    <t xml:space="preserve">14663</t>
  </si>
  <si>
    <t xml:space="preserve">2025-02-04 00:00:00</t>
  </si>
  <si>
    <t xml:space="preserve">11-ELEKTRONIK MLZ.-KILIÇ ELEKTRONIK</t>
  </si>
  <si>
    <t xml:space="preserve">EDENKCI</t>
  </si>
  <si>
    <t xml:space="preserve">ARIZİ SATICILAR (MASRAFLAR)</t>
  </si>
  <si>
    <t xml:space="preserve">KAY-0083</t>
  </si>
  <si>
    <t xml:space="preserve">930-T13</t>
  </si>
  <si>
    <t xml:space="preserve">KAY-0084</t>
  </si>
  <si>
    <t xml:space="preserve">7187</t>
  </si>
  <si>
    <t xml:space="preserve">2025-01-30 00:00:00</t>
  </si>
  <si>
    <t xml:space="preserve">KAY-0085</t>
  </si>
  <si>
    <t xml:space="preserve">9170</t>
  </si>
  <si>
    <t xml:space="preserve">KAY-0086</t>
  </si>
  <si>
    <t xml:space="preserve">8758</t>
  </si>
  <si>
    <t xml:space="preserve">KAY-0087</t>
  </si>
  <si>
    <t xml:space="preserve">7525</t>
  </si>
  <si>
    <t xml:space="preserve">KAY-0088</t>
  </si>
  <si>
    <t xml:space="preserve">9076</t>
  </si>
  <si>
    <t xml:space="preserve">HSD2025000003157</t>
  </si>
  <si>
    <t xml:space="preserve">HABAŞ SINAİ VE TIBBİ GAZLAR İST.END</t>
  </si>
  <si>
    <t xml:space="preserve">KAY-0089</t>
  </si>
  <si>
    <t xml:space="preserve">753</t>
  </si>
  <si>
    <t xml:space="preserve">2025-01-06 00:00:00</t>
  </si>
  <si>
    <t xml:space="preserve">KAY-0090</t>
  </si>
  <si>
    <t xml:space="preserve">4708</t>
  </si>
  <si>
    <t xml:space="preserve">KAY-0091</t>
  </si>
  <si>
    <t xml:space="preserve">6-ELEKTRONIK MLZ.-AYPI ELEKTRONIK</t>
  </si>
  <si>
    <t xml:space="preserve">KAY-0092</t>
  </si>
  <si>
    <t xml:space="preserve">KAY-0093</t>
  </si>
  <si>
    <t xml:space="preserve">3840</t>
  </si>
  <si>
    <t xml:space="preserve">KAY-0094</t>
  </si>
  <si>
    <t xml:space="preserve">19607</t>
  </si>
  <si>
    <t xml:space="preserve">KAY-0095</t>
  </si>
  <si>
    <t xml:space="preserve">7300003011</t>
  </si>
  <si>
    <t xml:space="preserve">PROSES KAYNAKLI KİMYASAL ATIK BERTARAF GİDERİ</t>
  </si>
  <si>
    <t xml:space="preserve">17935</t>
  </si>
  <si>
    <t xml:space="preserve">2025-02-20 00:00:00</t>
  </si>
  <si>
    <t xml:space="preserve">CHI2025000000673</t>
  </si>
  <si>
    <t xml:space="preserve">CHIMIREC AVRASYA ENDÜSTRİYEL ATIK</t>
  </si>
  <si>
    <t xml:space="preserve">KAY-0096</t>
  </si>
  <si>
    <t xml:space="preserve">16268</t>
  </si>
  <si>
    <t xml:space="preserve">2025-02-01 00:00:00</t>
  </si>
  <si>
    <t xml:space="preserve">GYS2025000000019</t>
  </si>
  <si>
    <t xml:space="preserve">KAY-0097</t>
  </si>
  <si>
    <t xml:space="preserve">17938</t>
  </si>
  <si>
    <t xml:space="preserve">CHI2025000000671</t>
  </si>
  <si>
    <t xml:space="preserve">KAY-0098</t>
  </si>
  <si>
    <t xml:space="preserve">20149</t>
  </si>
  <si>
    <t xml:space="preserve">CHI2025000001012</t>
  </si>
  <si>
    <t xml:space="preserve">KAY-0099</t>
  </si>
  <si>
    <t xml:space="preserve">16281</t>
  </si>
  <si>
    <t xml:space="preserve">KAY-0100</t>
  </si>
  <si>
    <t xml:space="preserve">8722</t>
  </si>
  <si>
    <t xml:space="preserve">CHI2025000000382</t>
  </si>
  <si>
    <t xml:space="preserve">KAY-0101</t>
  </si>
  <si>
    <t xml:space="preserve">20152</t>
  </si>
  <si>
    <t xml:space="preserve">CHI2025000001014</t>
  </si>
  <si>
    <t xml:space="preserve">KAY-0102</t>
  </si>
  <si>
    <t xml:space="preserve">16291</t>
  </si>
  <si>
    <t xml:space="preserve">KAY-0103</t>
  </si>
  <si>
    <t xml:space="preserve">4970</t>
  </si>
  <si>
    <t xml:space="preserve">2025-01-16 00:00:00</t>
  </si>
  <si>
    <t xml:space="preserve">IZY2025000000406</t>
  </si>
  <si>
    <t xml:space="preserve">İZAYDAŞ İZMİT ATIK VE ARTIK.ARITMA</t>
  </si>
  <si>
    <t xml:space="preserve">KAY-0104</t>
  </si>
  <si>
    <t xml:space="preserve">8721</t>
  </si>
  <si>
    <t xml:space="preserve">CHI2025000000383</t>
  </si>
  <si>
    <t xml:space="preserve">KAY-0105</t>
  </si>
  <si>
    <t xml:space="preserve">8715</t>
  </si>
  <si>
    <t xml:space="preserve">CHI2025000000378</t>
  </si>
  <si>
    <t xml:space="preserve">KAY-0106</t>
  </si>
  <si>
    <t xml:space="preserve">20148</t>
  </si>
  <si>
    <t xml:space="preserve">CHI2025000001011</t>
  </si>
  <si>
    <t xml:space="preserve">KAY-0107</t>
  </si>
  <si>
    <t xml:space="preserve">20153</t>
  </si>
  <si>
    <t xml:space="preserve">CHI2025000001015</t>
  </si>
  <si>
    <t xml:space="preserve">KAY-0108</t>
  </si>
  <si>
    <t xml:space="preserve">20145</t>
  </si>
  <si>
    <t xml:space="preserve">CHI2025000001009</t>
  </si>
  <si>
    <t xml:space="preserve">KAY-0109</t>
  </si>
  <si>
    <t xml:space="preserve">8717</t>
  </si>
  <si>
    <t xml:space="preserve">CHI2025000000379</t>
  </si>
  <si>
    <t xml:space="preserve">KAY-0110</t>
  </si>
  <si>
    <t xml:space="preserve">20374</t>
  </si>
  <si>
    <t xml:space="preserve">KAY-0111</t>
  </si>
  <si>
    <t xml:space="preserve">17934</t>
  </si>
  <si>
    <t xml:space="preserve">CHI2025000000674</t>
  </si>
  <si>
    <t xml:space="preserve">KAY-0112</t>
  </si>
  <si>
    <t xml:space="preserve">17936</t>
  </si>
  <si>
    <t xml:space="preserve">CHI2025000000672</t>
  </si>
  <si>
    <t xml:space="preserve">KAY-0113</t>
  </si>
  <si>
    <t xml:space="preserve">16290</t>
  </si>
  <si>
    <t xml:space="preserve">KAY-0114</t>
  </si>
  <si>
    <t xml:space="preserve">8719</t>
  </si>
  <si>
    <t xml:space="preserve">CHI2025000000384</t>
  </si>
  <si>
    <t xml:space="preserve">KAY-0115</t>
  </si>
  <si>
    <t xml:space="preserve">16262</t>
  </si>
  <si>
    <t xml:space="preserve">KAY-0116</t>
  </si>
  <si>
    <t xml:space="preserve">20146</t>
  </si>
  <si>
    <t xml:space="preserve">CHI2025000001008</t>
  </si>
  <si>
    <t xml:space="preserve">KAY-0117</t>
  </si>
  <si>
    <t xml:space="preserve">16258</t>
  </si>
  <si>
    <t xml:space="preserve">KAY-0118</t>
  </si>
  <si>
    <t xml:space="preserve">8720</t>
  </si>
  <si>
    <t xml:space="preserve">CHI2025000000381</t>
  </si>
  <si>
    <t xml:space="preserve">KAY-0119</t>
  </si>
  <si>
    <t xml:space="preserve">8716</t>
  </si>
  <si>
    <t xml:space="preserve">CHI2025000000377</t>
  </si>
  <si>
    <t xml:space="preserve">KAY-0120</t>
  </si>
  <si>
    <t xml:space="preserve">20147</t>
  </si>
  <si>
    <t xml:space="preserve">CHI2025000001010</t>
  </si>
  <si>
    <t xml:space="preserve">KAY-0121</t>
  </si>
  <si>
    <t xml:space="preserve">16263</t>
  </si>
  <si>
    <t xml:space="preserve">KAY-0122</t>
  </si>
  <si>
    <t xml:space="preserve">20150</t>
  </si>
  <si>
    <t xml:space="preserve">CHI2025000001013</t>
  </si>
  <si>
    <t xml:space="preserve">KAY-0123</t>
  </si>
  <si>
    <t xml:space="preserve">20144</t>
  </si>
  <si>
    <t xml:space="preserve">CHI2025000001007</t>
  </si>
  <si>
    <t xml:space="preserve">KAY-0124</t>
  </si>
  <si>
    <t xml:space="preserve">17937</t>
  </si>
  <si>
    <t xml:space="preserve">CHI2025000000670</t>
  </si>
  <si>
    <t xml:space="preserve">KAY-0125</t>
  </si>
  <si>
    <t xml:space="preserve">8718</t>
  </si>
  <si>
    <t xml:space="preserve">CHI2025000000380</t>
  </si>
  <si>
    <t xml:space="preserve">KAY-0126</t>
  </si>
  <si>
    <t xml:space="preserve">7300003100</t>
  </si>
  <si>
    <t xml:space="preserve">ALIS NAKLIYE-HAMMALIYE GIDERI</t>
  </si>
  <si>
    <t xml:space="preserve">KAY-0127</t>
  </si>
  <si>
    <t xml:space="preserve">KAY-0128</t>
  </si>
  <si>
    <t xml:space="preserve">KAY-0129</t>
  </si>
  <si>
    <t xml:space="preserve">KAY-0130</t>
  </si>
  <si>
    <t xml:space="preserve">KAY-0131</t>
  </si>
  <si>
    <t xml:space="preserve">KAY-0132</t>
  </si>
  <si>
    <t xml:space="preserve">KAY-0133</t>
  </si>
  <si>
    <t xml:space="preserve">KAY-0134</t>
  </si>
  <si>
    <t xml:space="preserve">KAY-0135</t>
  </si>
  <si>
    <t xml:space="preserve">KAY-0136</t>
  </si>
  <si>
    <t xml:space="preserve">KAY-0137</t>
  </si>
  <si>
    <t xml:space="preserve">KAY-0138</t>
  </si>
  <si>
    <t xml:space="preserve">KAY-0139</t>
  </si>
  <si>
    <t xml:space="preserve">KAY-0140</t>
  </si>
  <si>
    <t xml:space="preserve">KAY-0141</t>
  </si>
  <si>
    <t xml:space="preserve">KAY-0142</t>
  </si>
  <si>
    <t xml:space="preserve">KAY-0143</t>
  </si>
  <si>
    <t xml:space="preserve">KAY-0144</t>
  </si>
  <si>
    <t xml:space="preserve">KAY-0145</t>
  </si>
  <si>
    <t xml:space="preserve">KAY-0146</t>
  </si>
  <si>
    <t xml:space="preserve">KAY-0147</t>
  </si>
  <si>
    <t xml:space="preserve">KAY-0148</t>
  </si>
  <si>
    <t xml:space="preserve">KAY-0149</t>
  </si>
  <si>
    <t xml:space="preserve">7300003208</t>
  </si>
  <si>
    <t xml:space="preserve">TEMSIL VE AGIRLAMA GIDERLERI</t>
  </si>
  <si>
    <t xml:space="preserve">7413</t>
  </si>
  <si>
    <t xml:space="preserve">SCC2025000000129</t>
  </si>
  <si>
    <t xml:space="preserve">SOFRA YEMEK ÜRETİM VE HİZMET A.Ş.</t>
  </si>
  <si>
    <t xml:space="preserve">KAY-0150</t>
  </si>
  <si>
    <t xml:space="preserve">17441</t>
  </si>
  <si>
    <t xml:space="preserve">SCA2025000000450</t>
  </si>
  <si>
    <t xml:space="preserve">KAY-0151</t>
  </si>
  <si>
    <t xml:space="preserve">KAY-0152</t>
  </si>
  <si>
    <t xml:space="preserve">KAY-0153</t>
  </si>
  <si>
    <t xml:space="preserve">KAY-0154</t>
  </si>
  <si>
    <t xml:space="preserve">KAY-0155</t>
  </si>
  <si>
    <t xml:space="preserve">KAY-0156</t>
  </si>
  <si>
    <t xml:space="preserve">KAY-0157</t>
  </si>
  <si>
    <t xml:space="preserve">KAY-0158</t>
  </si>
  <si>
    <t xml:space="preserve">KAY-0159</t>
  </si>
  <si>
    <t xml:space="preserve">KAY-0160</t>
  </si>
  <si>
    <t xml:space="preserve">KAY-0161</t>
  </si>
  <si>
    <t xml:space="preserve">7300003211</t>
  </si>
  <si>
    <t xml:space="preserve">IC SEYAHAT GIDERLERI</t>
  </si>
  <si>
    <t xml:space="preserve">18862</t>
  </si>
  <si>
    <t xml:space="preserve">2025-02-27 00:00:00</t>
  </si>
  <si>
    <t xml:space="preserve">PO02025000000334 HACI UĞUR 873266</t>
  </si>
  <si>
    <t xml:space="preserve">POLO TURİZM ORG.TİC.LTD.ŞTİ.</t>
  </si>
  <si>
    <t xml:space="preserve">KAY-0162</t>
  </si>
  <si>
    <t xml:space="preserve">18864</t>
  </si>
  <si>
    <t xml:space="preserve">PO02025000000335 KAYAHAN KAYA 873278</t>
  </si>
  <si>
    <t xml:space="preserve">KAY-0163</t>
  </si>
  <si>
    <t xml:space="preserve">7300003215</t>
  </si>
  <si>
    <t xml:space="preserve">KIRTASIYE GIDERLERI</t>
  </si>
  <si>
    <t xml:space="preserve">18457</t>
  </si>
  <si>
    <t xml:space="preserve">930-T01</t>
  </si>
  <si>
    <t xml:space="preserve">KAY-0164</t>
  </si>
  <si>
    <t xml:space="preserve">KAY-0165</t>
  </si>
  <si>
    <t xml:space="preserve">19527</t>
  </si>
  <si>
    <t xml:space="preserve">OPS2025000000436</t>
  </si>
  <si>
    <t xml:space="preserve">OPC TEKNİK SERVİS HİZM.VE BÜRO MALZ</t>
  </si>
  <si>
    <t xml:space="preserve">KAY-0166</t>
  </si>
  <si>
    <t xml:space="preserve">8255</t>
  </si>
  <si>
    <t xml:space="preserve">OPS2025000000184</t>
  </si>
  <si>
    <t xml:space="preserve">KAY-0167</t>
  </si>
  <si>
    <t xml:space="preserve">KAY-0168</t>
  </si>
  <si>
    <t xml:space="preserve">1949</t>
  </si>
  <si>
    <t xml:space="preserve">2025-01-10 00:00:00</t>
  </si>
  <si>
    <t xml:space="preserve">KAY-0169</t>
  </si>
  <si>
    <t xml:space="preserve">1821</t>
  </si>
  <si>
    <t xml:space="preserve">OPC2025000000043</t>
  </si>
  <si>
    <t xml:space="preserve">KAY-0170</t>
  </si>
  <si>
    <t xml:space="preserve">1000000101</t>
  </si>
  <si>
    <t xml:space="preserve">KAY-0171</t>
  </si>
  <si>
    <t xml:space="preserve">KAY-0172</t>
  </si>
  <si>
    <t xml:space="preserve">8610</t>
  </si>
  <si>
    <t xml:space="preserve">OPS2025000000180</t>
  </si>
  <si>
    <t xml:space="preserve">KAY-0173</t>
  </si>
  <si>
    <t xml:space="preserve">7300003217</t>
  </si>
  <si>
    <t xml:space="preserve">ABONE</t>
  </si>
  <si>
    <t xml:space="preserve">LİNKTEL TELSİZ ALTYAPI KANAL KULLAN Dönemsel kayıt</t>
  </si>
  <si>
    <t xml:space="preserve">KAY-0174</t>
  </si>
  <si>
    <t xml:space="preserve">7300003223</t>
  </si>
  <si>
    <t xml:space="preserve">OFİS YİYECEK İÇECEK GİDERİ</t>
  </si>
  <si>
    <t xml:space="preserve">170</t>
  </si>
  <si>
    <t xml:space="preserve">2025-01-02 00:00:00</t>
  </si>
  <si>
    <t xml:space="preserve">930-T07</t>
  </si>
  <si>
    <t xml:space="preserve">KAY-0175</t>
  </si>
  <si>
    <t xml:space="preserve">2261</t>
  </si>
  <si>
    <t xml:space="preserve">2025-01-13 00:00:00</t>
  </si>
  <si>
    <t xml:space="preserve">930-T08</t>
  </si>
  <si>
    <t xml:space="preserve">KAY-0176</t>
  </si>
  <si>
    <t xml:space="preserve">KAY-0177</t>
  </si>
  <si>
    <t xml:space="preserve">KAY-0178</t>
  </si>
  <si>
    <t xml:space="preserve">17587</t>
  </si>
  <si>
    <t xml:space="preserve">KAY-0179</t>
  </si>
  <si>
    <t xml:space="preserve">KAY-0180</t>
  </si>
  <si>
    <t xml:space="preserve">4753</t>
  </si>
  <si>
    <t xml:space="preserve">KAY-0181</t>
  </si>
  <si>
    <t xml:space="preserve">KAY-0182</t>
  </si>
  <si>
    <t xml:space="preserve">KAY-0183</t>
  </si>
  <si>
    <t xml:space="preserve">KAY-0184</t>
  </si>
  <si>
    <t xml:space="preserve">KAY-0185</t>
  </si>
  <si>
    <t xml:space="preserve">8739</t>
  </si>
  <si>
    <t xml:space="preserve">KAY-0186</t>
  </si>
  <si>
    <t xml:space="preserve">KAY-0187</t>
  </si>
  <si>
    <t xml:space="preserve">16833</t>
  </si>
  <si>
    <t xml:space="preserve">KAY-0188</t>
  </si>
  <si>
    <t xml:space="preserve">KAY-0189</t>
  </si>
  <si>
    <t xml:space="preserve">KAY-0190</t>
  </si>
  <si>
    <t xml:space="preserve">KAY-0191</t>
  </si>
  <si>
    <t xml:space="preserve">KAY-0192</t>
  </si>
  <si>
    <t xml:space="preserve">KAY-0193</t>
  </si>
  <si>
    <t xml:space="preserve">KAY-0194</t>
  </si>
  <si>
    <t xml:space="preserve">KAY-0195</t>
  </si>
  <si>
    <t xml:space="preserve">KAY-0196</t>
  </si>
  <si>
    <t xml:space="preserve">KAY-0197</t>
  </si>
  <si>
    <t xml:space="preserve">KAY-0198</t>
  </si>
  <si>
    <t xml:space="preserve">KAY-0199</t>
  </si>
  <si>
    <t xml:space="preserve">678</t>
  </si>
  <si>
    <t xml:space="preserve">KAY-0200</t>
  </si>
  <si>
    <t xml:space="preserve">7300003303</t>
  </si>
  <si>
    <t xml:space="preserve">TEKNIK ISTISARE GID.(DIŞARIDAN ALINAN)</t>
  </si>
  <si>
    <t xml:space="preserve">17434</t>
  </si>
  <si>
    <t xml:space="preserve">2025-02-19 00:00:00</t>
  </si>
  <si>
    <t xml:space="preserve">NND2025000001752</t>
  </si>
  <si>
    <t xml:space="preserve">NANOLAB LABORATUVAR HİZM. KİMYA GID</t>
  </si>
  <si>
    <t xml:space="preserve">KAY-0201</t>
  </si>
  <si>
    <t xml:space="preserve">3393</t>
  </si>
  <si>
    <t xml:space="preserve">AFA2025000000006</t>
  </si>
  <si>
    <t xml:space="preserve">AFA DAN.ENERJİ TUR.İNŞ.TAH.İTH.İHR.</t>
  </si>
  <si>
    <t xml:space="preserve">KAY-0202</t>
  </si>
  <si>
    <t xml:space="preserve">13367</t>
  </si>
  <si>
    <t xml:space="preserve">NND2025000001156</t>
  </si>
  <si>
    <t xml:space="preserve">KAY-0203</t>
  </si>
  <si>
    <t xml:space="preserve">17196</t>
  </si>
  <si>
    <t xml:space="preserve">2025-01-25 00:00:00</t>
  </si>
  <si>
    <t xml:space="preserve">M250100497</t>
  </si>
  <si>
    <t xml:space="preserve">MARMARA ARAŞTIRMA MERKEZI</t>
  </si>
  <si>
    <t xml:space="preserve">KAY-0204</t>
  </si>
  <si>
    <t xml:space="preserve">4971</t>
  </si>
  <si>
    <t xml:space="preserve">IZY2025000000430</t>
  </si>
  <si>
    <t xml:space="preserve">KAY-0205</t>
  </si>
  <si>
    <t xml:space="preserve">14911</t>
  </si>
  <si>
    <t xml:space="preserve">2025-02-03 00:00:00</t>
  </si>
  <si>
    <t xml:space="preserve">AFA2025000000081</t>
  </si>
  <si>
    <t xml:space="preserve">KAY-0206</t>
  </si>
  <si>
    <t xml:space="preserve">7300003510</t>
  </si>
  <si>
    <t xml:space="preserve">DIŞARIDAN ALINAN BAKIM GİDERİ</t>
  </si>
  <si>
    <t xml:space="preserve">3876</t>
  </si>
  <si>
    <t xml:space="preserve">2025-01-17 00:00:00</t>
  </si>
  <si>
    <t xml:space="preserve">KYE2025000000084</t>
  </si>
  <si>
    <t xml:space="preserve">KURTARIR YANGIN SÖNDÜRME SAN.VE TİC</t>
  </si>
  <si>
    <t xml:space="preserve">KAY-0207</t>
  </si>
  <si>
    <t xml:space="preserve">8830</t>
  </si>
  <si>
    <t xml:space="preserve">4019811 sip SU ÜRETİM TESİSİ İNVERT Dönemsel kayıt</t>
  </si>
  <si>
    <t xml:space="preserve">KAY-0208</t>
  </si>
  <si>
    <t xml:space="preserve">8757</t>
  </si>
  <si>
    <t xml:space="preserve">KAY-0209</t>
  </si>
  <si>
    <t xml:space="preserve">KAY-0210</t>
  </si>
  <si>
    <t xml:space="preserve">KAY-0211</t>
  </si>
  <si>
    <t xml:space="preserve">8637</t>
  </si>
  <si>
    <t xml:space="preserve">RO 5 Sistemi Arıza Bakımlar Yıllık Dönemsel kayıt</t>
  </si>
  <si>
    <t xml:space="preserve">KAY-0212</t>
  </si>
  <si>
    <t xml:space="preserve">KAY-0213</t>
  </si>
  <si>
    <t xml:space="preserve">KAY-0214</t>
  </si>
  <si>
    <t xml:space="preserve">4513</t>
  </si>
  <si>
    <t xml:space="preserve">AAA2025000000115</t>
  </si>
  <si>
    <t xml:space="preserve">AKSA ANADOLU YAKASI MAK.SATIŞ VE SE</t>
  </si>
  <si>
    <t xml:space="preserve">KAY-0215</t>
  </si>
  <si>
    <t xml:space="preserve">17096</t>
  </si>
  <si>
    <t xml:space="preserve">AAB2025000000046</t>
  </si>
  <si>
    <t xml:space="preserve">KAY-0216</t>
  </si>
  <si>
    <t xml:space="preserve">7300004012</t>
  </si>
  <si>
    <t xml:space="preserve">ARAC KIRALARI</t>
  </si>
  <si>
    <t xml:space="preserve">14670</t>
  </si>
  <si>
    <t xml:space="preserve">34KSL383</t>
  </si>
  <si>
    <t xml:space="preserve">TEB ARVAL ARAÇ FİLO KİRALAMA A.Ş.</t>
  </si>
  <si>
    <t xml:space="preserve">A-34KSL383</t>
  </si>
  <si>
    <t xml:space="preserve">ELEKTRİK BİRİMİ HAVUZ ARACI</t>
  </si>
  <si>
    <t xml:space="preserve">KAY-0217</t>
  </si>
  <si>
    <t xml:space="preserve">3157</t>
  </si>
  <si>
    <t xml:space="preserve">KAY-0218</t>
  </si>
  <si>
    <t xml:space="preserve">7300004103</t>
  </si>
  <si>
    <t xml:space="preserve">MAKİNA SİGORTALARI</t>
  </si>
  <si>
    <t xml:space="preserve">8638</t>
  </si>
  <si>
    <t xml:space="preserve">AXA SİGORTA 399759687 MAKİNE KIRILM Dönemsel kayıt</t>
  </si>
  <si>
    <t xml:space="preserve">KAY-0219</t>
  </si>
  <si>
    <t xml:space="preserve">19605</t>
  </si>
  <si>
    <t xml:space="preserve">KAY-0220</t>
  </si>
  <si>
    <t xml:space="preserve">KAY-0221</t>
  </si>
  <si>
    <t xml:space="preserve">KAY-0222</t>
  </si>
  <si>
    <t xml:space="preserve">KAY-0223</t>
  </si>
  <si>
    <t xml:space="preserve">KAY-0224</t>
  </si>
  <si>
    <t xml:space="preserve">KAY-0225</t>
  </si>
  <si>
    <t xml:space="preserve">KAY-0226</t>
  </si>
  <si>
    <t xml:space="preserve">7300004105</t>
  </si>
  <si>
    <t xml:space="preserve">ARAÇ SİGORTALARI</t>
  </si>
  <si>
    <t xml:space="preserve">19604</t>
  </si>
  <si>
    <t xml:space="preserve">RAY SİGORTA 41 UL 593 ZORUNL.TRAFİK Dönemsel kayıt</t>
  </si>
  <si>
    <t xml:space="preserve">A-41UL593</t>
  </si>
  <si>
    <t xml:space="preserve">İDARİ İŞLER ( 34 Y 8781 PLK DE</t>
  </si>
  <si>
    <t xml:space="preserve">KAY-0227</t>
  </si>
  <si>
    <t xml:space="preserve">HDİ 41 UL 593 KASKO POLİÇESİ Dönemsel kayıt</t>
  </si>
  <si>
    <t xml:space="preserve">KAY-0228</t>
  </si>
  <si>
    <t xml:space="preserve">KAY-0229</t>
  </si>
  <si>
    <t xml:space="preserve">19606</t>
  </si>
  <si>
    <t xml:space="preserve">KAY-0230</t>
  </si>
  <si>
    <t xml:space="preserve">7300004108</t>
  </si>
  <si>
    <t xml:space="preserve">YANGIN SIGORTASI</t>
  </si>
  <si>
    <t xml:space="preserve">AXA SİGORTA 399758921 FABRİKA YANGI Dönemsel kayıt</t>
  </si>
  <si>
    <t xml:space="preserve">KAY-0231</t>
  </si>
  <si>
    <t xml:space="preserve">KAY-0232</t>
  </si>
  <si>
    <t xml:space="preserve">KAY-0233</t>
  </si>
  <si>
    <t xml:space="preserve">KAY-0234</t>
  </si>
  <si>
    <t xml:space="preserve">KAY-0235</t>
  </si>
  <si>
    <t xml:space="preserve">KAY-0236</t>
  </si>
  <si>
    <t xml:space="preserve">KAY-0237</t>
  </si>
  <si>
    <t xml:space="preserve">KAY-0238</t>
  </si>
  <si>
    <t xml:space="preserve">7300007000</t>
  </si>
  <si>
    <t xml:space="preserve">ARAÇ BENZIN GIDERLERI</t>
  </si>
  <si>
    <t xml:space="preserve">18042</t>
  </si>
  <si>
    <t xml:space="preserve">EN22025000009795 SHELL</t>
  </si>
  <si>
    <t xml:space="preserve">SHELL TURCAS PETR.A.Ş.</t>
  </si>
  <si>
    <t xml:space="preserve">KAY-0239</t>
  </si>
  <si>
    <t xml:space="preserve">19554</t>
  </si>
  <si>
    <t xml:space="preserve">EN12025000039805 SHELL</t>
  </si>
  <si>
    <t xml:space="preserve">KAY-0240</t>
  </si>
  <si>
    <t xml:space="preserve">6763</t>
  </si>
  <si>
    <t xml:space="preserve">EN12025000006091</t>
  </si>
  <si>
    <t xml:space="preserve">KAY-0241</t>
  </si>
  <si>
    <t xml:space="preserve">15369</t>
  </si>
  <si>
    <t xml:space="preserve">2025-02-10 00:00:00</t>
  </si>
  <si>
    <t xml:space="preserve">EN12025000030984 SHELL 10.01.2025</t>
  </si>
  <si>
    <t xml:space="preserve">KAY-0242</t>
  </si>
  <si>
    <t xml:space="preserve">8525</t>
  </si>
  <si>
    <t xml:space="preserve">EN12025000022906 SHELL</t>
  </si>
  <si>
    <t xml:space="preserve">KAY-0243</t>
  </si>
  <si>
    <t xml:space="preserve">5959</t>
  </si>
  <si>
    <t xml:space="preserve">EN12025000014193</t>
  </si>
  <si>
    <t xml:space="preserve">KAY-0244</t>
  </si>
  <si>
    <t xml:space="preserve">7300007501</t>
  </si>
  <si>
    <t xml:space="preserve">ARAÇ DİĞER GİDERLERİ</t>
  </si>
  <si>
    <t xml:space="preserve">15394</t>
  </si>
  <si>
    <t xml:space="preserve">2025-02-11 00:00:00</t>
  </si>
  <si>
    <t xml:space="preserve">TNE2025000004300 HGS BEDELİ</t>
  </si>
  <si>
    <t xml:space="preserve">KAY-0245</t>
  </si>
  <si>
    <t xml:space="preserve">3836</t>
  </si>
  <si>
    <t xml:space="preserve">2025-01-09 00:00:00</t>
  </si>
  <si>
    <t xml:space="preserve">TNE2025000001397 HGS BEDELİ</t>
  </si>
  <si>
    <t xml:space="preserve">KAY-0246</t>
  </si>
  <si>
    <t xml:space="preserve">6758</t>
  </si>
  <si>
    <t xml:space="preserve">2025-01-24 00:00:00</t>
  </si>
  <si>
    <t xml:space="preserve">TRO2025000001345</t>
  </si>
  <si>
    <t xml:space="preserve">TRİO MOBİL BİLİŞİM SİSTEMLERİ A.Ş.</t>
  </si>
  <si>
    <t xml:space="preserve">KAY-0247</t>
  </si>
  <si>
    <t xml:space="preserve">7300009001</t>
  </si>
  <si>
    <t xml:space="preserve">BİNEK OTO GİDER DÜZELTME HESABI</t>
  </si>
  <si>
    <t xml:space="preserve">20123</t>
  </si>
  <si>
    <t xml:space="preserve">2025 ŞUBAT ARAÇ GİDER DÜZELTME</t>
  </si>
  <si>
    <t xml:space="preserve">KAY-0248</t>
  </si>
  <si>
    <t xml:space="preserve">8812</t>
  </si>
  <si>
    <t xml:space="preserve">2025 OCAK ARAÇ GİDER DÜZELTME</t>
  </si>
  <si>
    <t xml:space="preserve">KAY-0249</t>
  </si>
  <si>
    <t xml:space="preserve">7300009990</t>
  </si>
  <si>
    <t xml:space="preserve">BİNEK OTO K.K.E.G. DÜZELTME HS.</t>
  </si>
  <si>
    <t xml:space="preserve">KAY-0250</t>
  </si>
  <si>
    <t xml:space="preserve">KAY-0251</t>
  </si>
  <si>
    <t xml:space="preserve">8813</t>
  </si>
  <si>
    <t xml:space="preserve">KAY-0252</t>
  </si>
  <si>
    <t xml:space="preserve">20124</t>
  </si>
  <si>
    <t xml:space="preserve">2025 ŞUBAT ARAÇ KDV DÜZELTME</t>
  </si>
  <si>
    <t xml:space="preserve">KAY-0253</t>
  </si>
  <si>
    <t xml:space="preserve">2274000006</t>
  </si>
  <si>
    <t xml:space="preserve">MEKANIK ATOLYE</t>
  </si>
  <si>
    <t xml:space="preserve">7400003003</t>
  </si>
  <si>
    <t xml:space="preserve">KAY-0254</t>
  </si>
  <si>
    <t xml:space="preserve">2274000005</t>
  </si>
  <si>
    <t xml:space="preserve">ELEKTRIK ATOLYESI</t>
  </si>
  <si>
    <t xml:space="preserve">KAY-0255</t>
  </si>
  <si>
    <t xml:space="preserve">KAY-0256</t>
  </si>
  <si>
    <t xml:space="preserve">KAY-0257</t>
  </si>
  <si>
    <t xml:space="preserve">KAY-0258</t>
  </si>
  <si>
    <t xml:space="preserve">2274000007</t>
  </si>
  <si>
    <t xml:space="preserve">TEKNIK AMBAR</t>
  </si>
  <si>
    <t xml:space="preserve">KAY-0259</t>
  </si>
  <si>
    <t xml:space="preserve">KAY-0260</t>
  </si>
  <si>
    <t xml:space="preserve">KAY-0261</t>
  </si>
  <si>
    <t xml:space="preserve">KAY-0262</t>
  </si>
  <si>
    <t xml:space="preserve">KAY-0263</t>
  </si>
  <si>
    <t xml:space="preserve">KAY-0264</t>
  </si>
  <si>
    <t xml:space="preserve">KAY-0265</t>
  </si>
  <si>
    <t xml:space="preserve">KAY-0266</t>
  </si>
  <si>
    <t xml:space="preserve">7400003004</t>
  </si>
  <si>
    <t xml:space="preserve">KAY-0267</t>
  </si>
  <si>
    <t xml:space="preserve">KAY-0268</t>
  </si>
  <si>
    <t xml:space="preserve">KAY-0269</t>
  </si>
  <si>
    <t xml:space="preserve">KAY-0270</t>
  </si>
  <si>
    <t xml:space="preserve">KAY-0271</t>
  </si>
  <si>
    <t xml:space="preserve">KAY-0272</t>
  </si>
  <si>
    <t xml:space="preserve">7400003006</t>
  </si>
  <si>
    <t xml:space="preserve">5875</t>
  </si>
  <si>
    <t xml:space="preserve">2025-01-27 00:00:00</t>
  </si>
  <si>
    <t xml:space="preserve">940-T04</t>
  </si>
  <si>
    <t xml:space="preserve">KAY-0273</t>
  </si>
  <si>
    <t xml:space="preserve">16096</t>
  </si>
  <si>
    <t xml:space="preserve">2025-02-17 00:00:00</t>
  </si>
  <si>
    <t xml:space="preserve">KAY-0274</t>
  </si>
  <si>
    <t xml:space="preserve">764</t>
  </si>
  <si>
    <t xml:space="preserve">KAY-0275</t>
  </si>
  <si>
    <t xml:space="preserve">15201</t>
  </si>
  <si>
    <t xml:space="preserve">2025-02-12 00:00:00</t>
  </si>
  <si>
    <t xml:space="preserve">KAY-0276</t>
  </si>
  <si>
    <t xml:space="preserve">7177</t>
  </si>
  <si>
    <t xml:space="preserve">KAY-0277</t>
  </si>
  <si>
    <t xml:space="preserve">4013</t>
  </si>
  <si>
    <t xml:space="preserve">KAY-0278</t>
  </si>
  <si>
    <t xml:space="preserve">17493</t>
  </si>
  <si>
    <t xml:space="preserve">2025-02-24 00:00:00</t>
  </si>
  <si>
    <t xml:space="preserve">KAY-0279</t>
  </si>
  <si>
    <t xml:space="preserve">2657</t>
  </si>
  <si>
    <t xml:space="preserve">2025-01-14 00:00:00</t>
  </si>
  <si>
    <t xml:space="preserve">KAY-0280</t>
  </si>
  <si>
    <t xml:space="preserve">14069</t>
  </si>
  <si>
    <t xml:space="preserve">KAY-0281</t>
  </si>
  <si>
    <t xml:space="preserve">3010</t>
  </si>
  <si>
    <t xml:space="preserve">KAY-0282</t>
  </si>
  <si>
    <t xml:space="preserve">9205</t>
  </si>
  <si>
    <t xml:space="preserve">KAY-0283</t>
  </si>
  <si>
    <t xml:space="preserve">8374</t>
  </si>
  <si>
    <t xml:space="preserve">KAY-0284</t>
  </si>
  <si>
    <t xml:space="preserve">20207</t>
  </si>
  <si>
    <t xml:space="preserve">BTE2025000000056</t>
  </si>
  <si>
    <t xml:space="preserve">BATI SOSYAL HİZM.BORDR.GÖZETİM VE D</t>
  </si>
  <si>
    <t xml:space="preserve">KAY-0285</t>
  </si>
  <si>
    <t xml:space="preserve">KAY-0286</t>
  </si>
  <si>
    <t xml:space="preserve">KAY-0287</t>
  </si>
  <si>
    <t xml:space="preserve">2552</t>
  </si>
  <si>
    <t xml:space="preserve">KAY-0288</t>
  </si>
  <si>
    <t xml:space="preserve">4592</t>
  </si>
  <si>
    <t xml:space="preserve">2025-01-22 00:00:00</t>
  </si>
  <si>
    <t xml:space="preserve">KAY-0289</t>
  </si>
  <si>
    <t xml:space="preserve">9055</t>
  </si>
  <si>
    <t xml:space="preserve">2025-02-05 00:00:00</t>
  </si>
  <si>
    <t xml:space="preserve">KAY-0290</t>
  </si>
  <si>
    <t xml:space="preserve">426</t>
  </si>
  <si>
    <t xml:space="preserve">2025-01-03 00:00:00</t>
  </si>
  <si>
    <t xml:space="preserve">KAY-0291</t>
  </si>
  <si>
    <t xml:space="preserve">20179</t>
  </si>
  <si>
    <t xml:space="preserve">BTE2025000000052</t>
  </si>
  <si>
    <t xml:space="preserve">KAY-0292</t>
  </si>
  <si>
    <t xml:space="preserve">KAY-0293</t>
  </si>
  <si>
    <t xml:space="preserve">7400003007</t>
  </si>
  <si>
    <t xml:space="preserve">18674</t>
  </si>
  <si>
    <t xml:space="preserve">940-T09</t>
  </si>
  <si>
    <t xml:space="preserve">KAY-0294</t>
  </si>
  <si>
    <t xml:space="preserve">4476</t>
  </si>
  <si>
    <t xml:space="preserve">2-ELEKTRIK MLZ.-NURTAÇ AYDINLATMA ELEKTRİK İNŞ.LTD</t>
  </si>
  <si>
    <t xml:space="preserve">KAY-0295</t>
  </si>
  <si>
    <t xml:space="preserve">7134</t>
  </si>
  <si>
    <t xml:space="preserve">KAY-0296</t>
  </si>
  <si>
    <t xml:space="preserve">1000000053</t>
  </si>
  <si>
    <t xml:space="preserve">KAY-0297</t>
  </si>
  <si>
    <t xml:space="preserve">16143</t>
  </si>
  <si>
    <t xml:space="preserve">EFT2025000000686</t>
  </si>
  <si>
    <t xml:space="preserve">UMAY OFİS ÜRÜNLERİ TİC LTD ŞTİ</t>
  </si>
  <si>
    <t xml:space="preserve">KAY-0298</t>
  </si>
  <si>
    <t xml:space="preserve">7179</t>
  </si>
  <si>
    <t xml:space="preserve">940-T10</t>
  </si>
  <si>
    <t xml:space="preserve">KAY-0299</t>
  </si>
  <si>
    <t xml:space="preserve">KAY-0300</t>
  </si>
  <si>
    <t xml:space="preserve">6377</t>
  </si>
  <si>
    <t xml:space="preserve">2025-01-29 00:00:00</t>
  </si>
  <si>
    <t xml:space="preserve">940-T02</t>
  </si>
  <si>
    <t xml:space="preserve">KAY-0301</t>
  </si>
  <si>
    <t xml:space="preserve">14516</t>
  </si>
  <si>
    <t xml:space="preserve">KAY-0302</t>
  </si>
  <si>
    <t xml:space="preserve">17865</t>
  </si>
  <si>
    <t xml:space="preserve">UCG2025000004060</t>
  </si>
  <si>
    <t xml:space="preserve">ÜÇGEN BİLG.KIRT.SAN.TİC.LTD.ŞTİ.</t>
  </si>
  <si>
    <t xml:space="preserve">KAY-0303</t>
  </si>
  <si>
    <t xml:space="preserve">1422</t>
  </si>
  <si>
    <t xml:space="preserve">KAY-0304</t>
  </si>
  <si>
    <t xml:space="preserve">17151</t>
  </si>
  <si>
    <t xml:space="preserve">KAY-0305</t>
  </si>
  <si>
    <t xml:space="preserve">17583</t>
  </si>
  <si>
    <t xml:space="preserve">KAY-0306</t>
  </si>
  <si>
    <t xml:space="preserve">14519</t>
  </si>
  <si>
    <t xml:space="preserve">KAY-0307</t>
  </si>
  <si>
    <t xml:space="preserve">4518</t>
  </si>
  <si>
    <t xml:space="preserve">KAY-0308</t>
  </si>
  <si>
    <t xml:space="preserve">7400003011</t>
  </si>
  <si>
    <t xml:space="preserve">23440</t>
  </si>
  <si>
    <t xml:space="preserve">KAY-0309</t>
  </si>
  <si>
    <t xml:space="preserve">16265</t>
  </si>
  <si>
    <t xml:space="preserve">KAY-0310</t>
  </si>
  <si>
    <t xml:space="preserve">16261</t>
  </si>
  <si>
    <t xml:space="preserve">KAY-0311</t>
  </si>
  <si>
    <t xml:space="preserve">KAY-0312</t>
  </si>
  <si>
    <t xml:space="preserve">16264</t>
  </si>
  <si>
    <t xml:space="preserve">KAY-0313</t>
  </si>
  <si>
    <t xml:space="preserve">7400003202</t>
  </si>
  <si>
    <t xml:space="preserve">MASRAF KAYDEDİLEN BİLG. DEMİRBAŞLARI VE SARF MALZ.</t>
  </si>
  <si>
    <t xml:space="preserve">19523</t>
  </si>
  <si>
    <t xml:space="preserve">2025-02-26 00:00:00</t>
  </si>
  <si>
    <t xml:space="preserve">FTR2025000000367</t>
  </si>
  <si>
    <t xml:space="preserve">SİSTAŞ SAYISAL İLETİŞİM SAN. VE TİC</t>
  </si>
  <si>
    <t xml:space="preserve">KAY-0314</t>
  </si>
  <si>
    <t xml:space="preserve">7400003207</t>
  </si>
  <si>
    <t xml:space="preserve">MASRAF KAYDEDILEN DEMIRBASLAR</t>
  </si>
  <si>
    <t xml:space="preserve">1000000054</t>
  </si>
  <si>
    <t xml:space="preserve">2025-01-19 00:00:00</t>
  </si>
  <si>
    <t xml:space="preserve">TSA2025000026206-TV DUVAR ASKI APARATI-TEKNOSA İÇ</t>
  </si>
  <si>
    <t xml:space="preserve">TEKNOSA İÇ VE DIŞ TİC.A.Ş.</t>
  </si>
  <si>
    <t xml:space="preserve">KAY-0315</t>
  </si>
  <si>
    <t xml:space="preserve">4474</t>
  </si>
  <si>
    <t xml:space="preserve">KAY-0316</t>
  </si>
  <si>
    <t xml:space="preserve">4519</t>
  </si>
  <si>
    <t xml:space="preserve">KAY-0317</t>
  </si>
  <si>
    <t xml:space="preserve">7400003208</t>
  </si>
  <si>
    <t xml:space="preserve">KAY-0318</t>
  </si>
  <si>
    <t xml:space="preserve">KAY-0319</t>
  </si>
  <si>
    <t xml:space="preserve">KAY-0320</t>
  </si>
  <si>
    <t xml:space="preserve">KAY-0321</t>
  </si>
  <si>
    <t xml:space="preserve">KAY-0322</t>
  </si>
  <si>
    <t xml:space="preserve">KAY-0323</t>
  </si>
  <si>
    <t xml:space="preserve">7400003210</t>
  </si>
  <si>
    <t xml:space="preserve">DIS SEYAHAT GIDERLERI</t>
  </si>
  <si>
    <t xml:space="preserve">16125</t>
  </si>
  <si>
    <t xml:space="preserve">PO02025000000205 KURTULUŞ KARADAĞ 869143</t>
  </si>
  <si>
    <t xml:space="preserve">KAY-0324</t>
  </si>
  <si>
    <t xml:space="preserve">17152</t>
  </si>
  <si>
    <t xml:space="preserve">PO02025000000237 KURTULUS KARADAG 869141</t>
  </si>
  <si>
    <t xml:space="preserve">KAY-0325</t>
  </si>
  <si>
    <t xml:space="preserve">16517</t>
  </si>
  <si>
    <t xml:space="preserve">15255907/9893-YEMEK/ 17,57 EURO-BILLA AG/WEGSCHEID</t>
  </si>
  <si>
    <t xml:space="preserve">KAY-0326</t>
  </si>
  <si>
    <t xml:space="preserve">007077-YEMEK / 130 EURO-RESTAURANT LANDHAUS/PANDOR</t>
  </si>
  <si>
    <t xml:space="preserve">KAY-0327</t>
  </si>
  <si>
    <t xml:space="preserve">520599/642408-YEMEK İÇECEK/ 13 EURO-SEGAFREDO ESPR</t>
  </si>
  <si>
    <t xml:space="preserve">KAY-0328</t>
  </si>
  <si>
    <t xml:space="preserve">1000000245</t>
  </si>
  <si>
    <t xml:space="preserve">96003-OTOPARK-34MKN404 /F-000190 PS.FİŞİ-İSTANBUL</t>
  </si>
  <si>
    <t xml:space="preserve">KAY-0329</t>
  </si>
  <si>
    <t xml:space="preserve">23329</t>
  </si>
  <si>
    <t xml:space="preserve">KAY-0330</t>
  </si>
  <si>
    <t xml:space="preserve">7400003211</t>
  </si>
  <si>
    <t xml:space="preserve">145-YEMEK-KÖFTECI YUSUF HAZ.YEM.TEM.A.Ş.</t>
  </si>
  <si>
    <t xml:space="preserve">KAY-0331</t>
  </si>
  <si>
    <t xml:space="preserve">27-YEMEK - GÜLÇİMEN ASPAVA-GÜLÇIMEN GIDA SAN.TİC.L</t>
  </si>
  <si>
    <t xml:space="preserve">KAY-0332</t>
  </si>
  <si>
    <t xml:space="preserve">2-YEMEK-REAL KEBAP - SEFA ALBAYRAK</t>
  </si>
  <si>
    <t xml:space="preserve">KAY-0333</t>
  </si>
  <si>
    <t xml:space="preserve">33-YEMEK-MAVI NOKTA - MUHAMMET MUSTAFA ŞEN</t>
  </si>
  <si>
    <t xml:space="preserve">KAY-0334</t>
  </si>
  <si>
    <t xml:space="preserve">KAY-0335</t>
  </si>
  <si>
    <t xml:space="preserve">135-YEMEK-GROSERI GID.VE İTH.TİC.LTD.ŞTİ</t>
  </si>
  <si>
    <t xml:space="preserve">KAY-0336</t>
  </si>
  <si>
    <t xml:space="preserve">KAY-0337</t>
  </si>
  <si>
    <t xml:space="preserve">KAY-0338</t>
  </si>
  <si>
    <t xml:space="preserve">246-IÇECEK-KAZIM BÜFE İNŞ.EML.PET.ÜRN.LTD.ŞTİ.</t>
  </si>
  <si>
    <t xml:space="preserve">KAY-0339</t>
  </si>
  <si>
    <t xml:space="preserve">7-YEMEK -KASR-I KERVAN KABAP-YEŞİLÖZ YEMEK GIDA SA</t>
  </si>
  <si>
    <t xml:space="preserve">KAY-0340</t>
  </si>
  <si>
    <t xml:space="preserve">3-YEMEK-KARDEŞLER A.KEBAP - CEMİL ÖZDEMİR</t>
  </si>
  <si>
    <t xml:space="preserve">KAY-0341</t>
  </si>
  <si>
    <t xml:space="preserve">86-YEMEK-MEŞHUR KABURGACI Y.USTA-YAŞAR AYDIN</t>
  </si>
  <si>
    <t xml:space="preserve">KAY-0342</t>
  </si>
  <si>
    <t xml:space="preserve">10-YEMEK-UĞURSOY TAHIN HELVA GIDA SA.Tİ.LTD.</t>
  </si>
  <si>
    <t xml:space="preserve">KAY-0343</t>
  </si>
  <si>
    <t xml:space="preserve">2-YEMEK-KARDEŞLER A.KEBAP - CEMİL ÖZDEMİR</t>
  </si>
  <si>
    <t xml:space="preserve">KAY-0344</t>
  </si>
  <si>
    <t xml:space="preserve">KAY-0345</t>
  </si>
  <si>
    <t xml:space="preserve">3224-YEMEK-TAB GIDA SAN.TIC. A.Ş.</t>
  </si>
  <si>
    <t xml:space="preserve">KAY-0346</t>
  </si>
  <si>
    <t xml:space="preserve">KAY-0347</t>
  </si>
  <si>
    <t xml:space="preserve">KAY-0348</t>
  </si>
  <si>
    <t xml:space="preserve">KAY-0349</t>
  </si>
  <si>
    <t xml:space="preserve">KAY-0350</t>
  </si>
  <si>
    <t xml:space="preserve">KAY-0351</t>
  </si>
  <si>
    <t xml:space="preserve">KAY-0352</t>
  </si>
  <si>
    <t xml:space="preserve">3225-YEMEK-TAB GIDA SAN.TIC. A.Ş.</t>
  </si>
  <si>
    <t xml:space="preserve">KAY-0353</t>
  </si>
  <si>
    <t xml:space="preserve">KAY-0354</t>
  </si>
  <si>
    <t xml:space="preserve">KAY-0355</t>
  </si>
  <si>
    <t xml:space="preserve">4-YEMEK-REAL KEBAP</t>
  </si>
  <si>
    <t xml:space="preserve">KAY-0356</t>
  </si>
  <si>
    <t xml:space="preserve">58-YEMEK-ŞADIRVAN DÖNER GIDA TURZ.TİC.LTD.ŞT</t>
  </si>
  <si>
    <t xml:space="preserve">KAY-0357</t>
  </si>
  <si>
    <t xml:space="preserve">KAY-0358</t>
  </si>
  <si>
    <t xml:space="preserve">KAY-0359</t>
  </si>
  <si>
    <t xml:space="preserve">2662</t>
  </si>
  <si>
    <t xml:space="preserve">0025-YİYECEK-THE HUNGER SETTE KAFE İŞL.LTD.ŞTİ.</t>
  </si>
  <si>
    <t xml:space="preserve">KAY-0360</t>
  </si>
  <si>
    <t xml:space="preserve">14577</t>
  </si>
  <si>
    <t xml:space="preserve">T012025134470277-YİYECEK-BİM BİRLEŞİK MAĞAZALAR A.</t>
  </si>
  <si>
    <t xml:space="preserve">KAY-0361</t>
  </si>
  <si>
    <t xml:space="preserve">KAY-0362</t>
  </si>
  <si>
    <t xml:space="preserve">KAY-0363</t>
  </si>
  <si>
    <t xml:space="preserve">4752</t>
  </si>
  <si>
    <t xml:space="preserve">PO02025000000071 BARIŞ METE 860876</t>
  </si>
  <si>
    <t xml:space="preserve">KAY-0364</t>
  </si>
  <si>
    <t xml:space="preserve">KAY-0365</t>
  </si>
  <si>
    <t xml:space="preserve">KAY-0366</t>
  </si>
  <si>
    <t xml:space="preserve">KAY-0367</t>
  </si>
  <si>
    <t xml:space="preserve">7146</t>
  </si>
  <si>
    <t xml:space="preserve">PO02025000000145 BURAK KOZLUCA 864586</t>
  </si>
  <si>
    <t xml:space="preserve">KAY-0368</t>
  </si>
  <si>
    <t xml:space="preserve">KAY-0369</t>
  </si>
  <si>
    <t xml:space="preserve">KAY-0370</t>
  </si>
  <si>
    <t xml:space="preserve">KAY-0371</t>
  </si>
  <si>
    <t xml:space="preserve">KAY-0372</t>
  </si>
  <si>
    <t xml:space="preserve">KAY-0373</t>
  </si>
  <si>
    <t xml:space="preserve">KAY-0374</t>
  </si>
  <si>
    <t xml:space="preserve">KAY-0375</t>
  </si>
  <si>
    <t xml:space="preserve">KAY-0376</t>
  </si>
  <si>
    <t xml:space="preserve">KAY-0377</t>
  </si>
  <si>
    <t xml:space="preserve">KAY-0378</t>
  </si>
  <si>
    <t xml:space="preserve">KAY-0379</t>
  </si>
  <si>
    <t xml:space="preserve">7400003215</t>
  </si>
  <si>
    <t xml:space="preserve">1817</t>
  </si>
  <si>
    <t xml:space="preserve">940-T01</t>
  </si>
  <si>
    <t xml:space="preserve">KAY-0380</t>
  </si>
  <si>
    <t xml:space="preserve">KAY-0381</t>
  </si>
  <si>
    <t xml:space="preserve">1822</t>
  </si>
  <si>
    <t xml:space="preserve">OPC2025000000045</t>
  </si>
  <si>
    <t xml:space="preserve">KAY-0382</t>
  </si>
  <si>
    <t xml:space="preserve">2868</t>
  </si>
  <si>
    <t xml:space="preserve">KAY-0383</t>
  </si>
  <si>
    <t xml:space="preserve">KAY-0384</t>
  </si>
  <si>
    <t xml:space="preserve">16124</t>
  </si>
  <si>
    <t xml:space="preserve">KAY-0385</t>
  </si>
  <si>
    <t xml:space="preserve">KAY-0386</t>
  </si>
  <si>
    <t xml:space="preserve">16095</t>
  </si>
  <si>
    <t xml:space="preserve">KAY-0387</t>
  </si>
  <si>
    <t xml:space="preserve">1913</t>
  </si>
  <si>
    <t xml:space="preserve">KAY-0388</t>
  </si>
  <si>
    <t xml:space="preserve">6239</t>
  </si>
  <si>
    <t xml:space="preserve">EAS2025000000182</t>
  </si>
  <si>
    <t xml:space="preserve">ELEKTROSER BÜRO MAKİNALARI BİLG.PAZ</t>
  </si>
  <si>
    <t xml:space="preserve">KAY-0389</t>
  </si>
  <si>
    <t xml:space="preserve">2556</t>
  </si>
  <si>
    <t xml:space="preserve">KAY-0390</t>
  </si>
  <si>
    <t xml:space="preserve">3073</t>
  </si>
  <si>
    <t xml:space="preserve">KAY-0391</t>
  </si>
  <si>
    <t xml:space="preserve">14635</t>
  </si>
  <si>
    <t xml:space="preserve">EAS2025000000440</t>
  </si>
  <si>
    <t xml:space="preserve">KAY-0392</t>
  </si>
  <si>
    <t xml:space="preserve">8978</t>
  </si>
  <si>
    <t xml:space="preserve">KAY-0393</t>
  </si>
  <si>
    <t xml:space="preserve">14746</t>
  </si>
  <si>
    <t xml:space="preserve">KAY-0394</t>
  </si>
  <si>
    <t xml:space="preserve">6152</t>
  </si>
  <si>
    <t xml:space="preserve">KAY-0395</t>
  </si>
  <si>
    <t xml:space="preserve">106</t>
  </si>
  <si>
    <t xml:space="preserve">KAY-0396</t>
  </si>
  <si>
    <t xml:space="preserve">2427</t>
  </si>
  <si>
    <t xml:space="preserve">KAY-0397</t>
  </si>
  <si>
    <t xml:space="preserve">19528</t>
  </si>
  <si>
    <t xml:space="preserve">OPS2025000000440</t>
  </si>
  <si>
    <t xml:space="preserve">KAY-0398</t>
  </si>
  <si>
    <t xml:space="preserve">KAY-0399</t>
  </si>
  <si>
    <t xml:space="preserve">7400003218</t>
  </si>
  <si>
    <t xml:space="preserve">AİDAT</t>
  </si>
  <si>
    <t xml:space="preserve">1079</t>
  </si>
  <si>
    <t xml:space="preserve">092898-YG IŞLETME SORUMLULUĞU SÖZLEŞME BEDELI 2025</t>
  </si>
  <si>
    <t xml:space="preserve">GABAY</t>
  </si>
  <si>
    <t xml:space="preserve">KAY-0400</t>
  </si>
  <si>
    <t xml:space="preserve">7400003223</t>
  </si>
  <si>
    <t xml:space="preserve">14099</t>
  </si>
  <si>
    <t xml:space="preserve">EFT2025000000698</t>
  </si>
  <si>
    <t xml:space="preserve">KAY-0401</t>
  </si>
  <si>
    <t xml:space="preserve">4755</t>
  </si>
  <si>
    <t xml:space="preserve">940-T07</t>
  </si>
  <si>
    <t xml:space="preserve">KAY-0402</t>
  </si>
  <si>
    <t xml:space="preserve">KAY-0403</t>
  </si>
  <si>
    <t xml:space="preserve">KAY-0404</t>
  </si>
  <si>
    <t xml:space="preserve">7473</t>
  </si>
  <si>
    <t xml:space="preserve">940-T08</t>
  </si>
  <si>
    <t xml:space="preserve">KAY-0405</t>
  </si>
  <si>
    <t xml:space="preserve">17588</t>
  </si>
  <si>
    <t xml:space="preserve">KAY-0406</t>
  </si>
  <si>
    <t xml:space="preserve">KAY-0407</t>
  </si>
  <si>
    <t xml:space="preserve">KAY-0408</t>
  </si>
  <si>
    <t xml:space="preserve">KAY-0409</t>
  </si>
  <si>
    <t xml:space="preserve">14964</t>
  </si>
  <si>
    <t xml:space="preserve">KAY-0410</t>
  </si>
  <si>
    <t xml:space="preserve">KAY-0411</t>
  </si>
  <si>
    <t xml:space="preserve">KAY-0412</t>
  </si>
  <si>
    <t xml:space="preserve">KAY-0413</t>
  </si>
  <si>
    <t xml:space="preserve">KAY-0414</t>
  </si>
  <si>
    <t xml:space="preserve">KAY-0415</t>
  </si>
  <si>
    <t xml:space="preserve">KAY-0416</t>
  </si>
  <si>
    <t xml:space="preserve">KAY-0417</t>
  </si>
  <si>
    <t xml:space="preserve">KAY-0418</t>
  </si>
  <si>
    <t xml:space="preserve">KAY-0419</t>
  </si>
  <si>
    <t xml:space="preserve">KAY-0420</t>
  </si>
  <si>
    <t xml:space="preserve">17507</t>
  </si>
  <si>
    <t xml:space="preserve">KAY-0421</t>
  </si>
  <si>
    <t xml:space="preserve">15115</t>
  </si>
  <si>
    <t xml:space="preserve">KAY-0422</t>
  </si>
  <si>
    <t xml:space="preserve">KAY-0423</t>
  </si>
  <si>
    <t xml:space="preserve">KAY-0424</t>
  </si>
  <si>
    <t xml:space="preserve">KAY-0425</t>
  </si>
  <si>
    <t xml:space="preserve">KAY-0426</t>
  </si>
  <si>
    <t xml:space="preserve">KAY-0427</t>
  </si>
  <si>
    <t xml:space="preserve">3528</t>
  </si>
  <si>
    <t xml:space="preserve">KAY-0428</t>
  </si>
  <si>
    <t xml:space="preserve">KAY-0429</t>
  </si>
  <si>
    <t xml:space="preserve">7400003303</t>
  </si>
  <si>
    <t xml:space="preserve">3390</t>
  </si>
  <si>
    <t xml:space="preserve">EFA2025000000017</t>
  </si>
  <si>
    <t xml:space="preserve">BURCU DÖNMEZ</t>
  </si>
  <si>
    <t xml:space="preserve">KAY-0430</t>
  </si>
  <si>
    <t xml:space="preserve">13762</t>
  </si>
  <si>
    <t xml:space="preserve">MVI2025000000014 ADEM ARSLAN BELGE YENİLEME</t>
  </si>
  <si>
    <t xml:space="preserve">MAVI BELGE ULUSLARARASI SERTIFIKASY</t>
  </si>
  <si>
    <t xml:space="preserve">KAY-0431</t>
  </si>
  <si>
    <t xml:space="preserve">7400003405</t>
  </si>
  <si>
    <t xml:space="preserve">DIGER VERGI PUL VE HARC GIDER.</t>
  </si>
  <si>
    <t xml:space="preserve">16872</t>
  </si>
  <si>
    <t xml:space="preserve">CAYTEN</t>
  </si>
  <si>
    <t xml:space="preserve">T-5419069903</t>
  </si>
  <si>
    <t xml:space="preserve">ORHAN KARABAĞ</t>
  </si>
  <si>
    <t xml:space="preserve">KAY-0432</t>
  </si>
  <si>
    <t xml:space="preserve">3745</t>
  </si>
  <si>
    <t xml:space="preserve">KAY-0433</t>
  </si>
  <si>
    <t xml:space="preserve">3746</t>
  </si>
  <si>
    <t xml:space="preserve">T-5453520894</t>
  </si>
  <si>
    <t xml:space="preserve">KURTULUŞ KARADAĞ</t>
  </si>
  <si>
    <t xml:space="preserve">KAY-0434</t>
  </si>
  <si>
    <t xml:space="preserve">16925</t>
  </si>
  <si>
    <t xml:space="preserve">KAY-0435</t>
  </si>
  <si>
    <t xml:space="preserve">16849</t>
  </si>
  <si>
    <t xml:space="preserve">T-5336151090</t>
  </si>
  <si>
    <t xml:space="preserve">BURAK KOZLUCA</t>
  </si>
  <si>
    <t xml:space="preserve">KAY-0436</t>
  </si>
  <si>
    <t xml:space="preserve">0015874-Y.DIŞI ÇIKIŞ HARCI-PTT</t>
  </si>
  <si>
    <t xml:space="preserve">KAY-0437</t>
  </si>
  <si>
    <t xml:space="preserve">16840</t>
  </si>
  <si>
    <t xml:space="preserve">T-5305421638</t>
  </si>
  <si>
    <t xml:space="preserve">HACI UĞUR</t>
  </si>
  <si>
    <t xml:space="preserve">KAY-0438</t>
  </si>
  <si>
    <t xml:space="preserve">3712</t>
  </si>
  <si>
    <t xml:space="preserve">KAY-0439</t>
  </si>
  <si>
    <t xml:space="preserve">3721</t>
  </si>
  <si>
    <t xml:space="preserve">KAY-0440</t>
  </si>
  <si>
    <t xml:space="preserve">23330</t>
  </si>
  <si>
    <t xml:space="preserve">KAY-0441</t>
  </si>
  <si>
    <t xml:space="preserve">KAY-0442</t>
  </si>
  <si>
    <t xml:space="preserve">7400003501</t>
  </si>
  <si>
    <t xml:space="preserve">TAMİR BAKIM GID.</t>
  </si>
  <si>
    <t xml:space="preserve">9834</t>
  </si>
  <si>
    <t xml:space="preserve">MY  1000/2272000003</t>
  </si>
  <si>
    <t xml:space="preserve">KAY-0443</t>
  </si>
  <si>
    <t xml:space="preserve">10174</t>
  </si>
  <si>
    <t xml:space="preserve">MY  1000/2273020008</t>
  </si>
  <si>
    <t xml:space="preserve">KAY-0444</t>
  </si>
  <si>
    <t xml:space="preserve">10380</t>
  </si>
  <si>
    <t xml:space="preserve">MY  1000/2274000006</t>
  </si>
  <si>
    <t xml:space="preserve">KAY-0445</t>
  </si>
  <si>
    <t xml:space="preserve">10088</t>
  </si>
  <si>
    <t xml:space="preserve">MY  1000/2273020004</t>
  </si>
  <si>
    <t xml:space="preserve">KAY-0446</t>
  </si>
  <si>
    <t xml:space="preserve">10108</t>
  </si>
  <si>
    <t xml:space="preserve">KAY-0447</t>
  </si>
  <si>
    <t xml:space="preserve">10100</t>
  </si>
  <si>
    <t xml:space="preserve">KAY-0448</t>
  </si>
  <si>
    <t xml:space="preserve">21130</t>
  </si>
  <si>
    <t xml:space="preserve">2025-03-05 00:00:00</t>
  </si>
  <si>
    <t xml:space="preserve">KAY-0449</t>
  </si>
  <si>
    <t xml:space="preserve">10086</t>
  </si>
  <si>
    <t xml:space="preserve">KAY-0450</t>
  </si>
  <si>
    <t xml:space="preserve">21288</t>
  </si>
  <si>
    <t xml:space="preserve">KAY-0451</t>
  </si>
  <si>
    <t xml:space="preserve">10146</t>
  </si>
  <si>
    <t xml:space="preserve">MY  1000/2273020007</t>
  </si>
  <si>
    <t xml:space="preserve">KAY-0452</t>
  </si>
  <si>
    <t xml:space="preserve">20824</t>
  </si>
  <si>
    <t xml:space="preserve">KAY-0453</t>
  </si>
  <si>
    <t xml:space="preserve">10139</t>
  </si>
  <si>
    <t xml:space="preserve">KAY-0454</t>
  </si>
  <si>
    <t xml:space="preserve">21078</t>
  </si>
  <si>
    <t xml:space="preserve">KAY-0455</t>
  </si>
  <si>
    <t xml:space="preserve">10102</t>
  </si>
  <si>
    <t xml:space="preserve">KAY-0456</t>
  </si>
  <si>
    <t xml:space="preserve">10106</t>
  </si>
  <si>
    <t xml:space="preserve">KAY-0457</t>
  </si>
  <si>
    <t xml:space="preserve">21041</t>
  </si>
  <si>
    <t xml:space="preserve">KAY-0458</t>
  </si>
  <si>
    <t xml:space="preserve">9826</t>
  </si>
  <si>
    <t xml:space="preserve">KAY-0459</t>
  </si>
  <si>
    <t xml:space="preserve">10067</t>
  </si>
  <si>
    <t xml:space="preserve">MY  1000/2273020003</t>
  </si>
  <si>
    <t xml:space="preserve">KAY-0460</t>
  </si>
  <si>
    <t xml:space="preserve">21032</t>
  </si>
  <si>
    <t xml:space="preserve">KAY-0461</t>
  </si>
  <si>
    <t xml:space="preserve">10066</t>
  </si>
  <si>
    <t xml:space="preserve">KAY-0462</t>
  </si>
  <si>
    <t xml:space="preserve">21059</t>
  </si>
  <si>
    <t xml:space="preserve">KAY-0463</t>
  </si>
  <si>
    <t xml:space="preserve">21108</t>
  </si>
  <si>
    <t xml:space="preserve">KAY-0464</t>
  </si>
  <si>
    <t xml:space="preserve">10141</t>
  </si>
  <si>
    <t xml:space="preserve">KAY-0465</t>
  </si>
  <si>
    <t xml:space="preserve">21061</t>
  </si>
  <si>
    <t xml:space="preserve">KAY-0466</t>
  </si>
  <si>
    <t xml:space="preserve">10156</t>
  </si>
  <si>
    <t xml:space="preserve">KAY-0467</t>
  </si>
  <si>
    <t xml:space="preserve">10087</t>
  </si>
  <si>
    <t xml:space="preserve">KAY-0468</t>
  </si>
  <si>
    <t xml:space="preserve">21064</t>
  </si>
  <si>
    <t xml:space="preserve">KAY-0469</t>
  </si>
  <si>
    <t xml:space="preserve">10143</t>
  </si>
  <si>
    <t xml:space="preserve">KAY-0470</t>
  </si>
  <si>
    <t xml:space="preserve">21043</t>
  </si>
  <si>
    <t xml:space="preserve">KAY-0471</t>
  </si>
  <si>
    <t xml:space="preserve">7400003510</t>
  </si>
  <si>
    <t xml:space="preserve">DIŞARDAN ALINAN BAKIM GİDERİ</t>
  </si>
  <si>
    <t xml:space="preserve">KAY-0472</t>
  </si>
  <si>
    <t xml:space="preserve">KAY-0473</t>
  </si>
  <si>
    <t xml:space="preserve">KAY-0474</t>
  </si>
  <si>
    <t xml:space="preserve">14890</t>
  </si>
  <si>
    <t xml:space="preserve">KYE2025000000304</t>
  </si>
  <si>
    <t xml:space="preserve">KAY-0475</t>
  </si>
  <si>
    <t xml:space="preserve">KAY-0476</t>
  </si>
  <si>
    <t xml:space="preserve">10128</t>
  </si>
  <si>
    <t xml:space="preserve">MY  1000/2273020006</t>
  </si>
  <si>
    <t xml:space="preserve">KAY-0477</t>
  </si>
  <si>
    <t xml:space="preserve">KAY-0478</t>
  </si>
  <si>
    <t xml:space="preserve">10110</t>
  </si>
  <si>
    <t xml:space="preserve">KAY-0479</t>
  </si>
  <si>
    <t xml:space="preserve">21122</t>
  </si>
  <si>
    <t xml:space="preserve">KAY-0480</t>
  </si>
  <si>
    <t xml:space="preserve">21284</t>
  </si>
  <si>
    <t xml:space="preserve">KAY-0481</t>
  </si>
  <si>
    <t xml:space="preserve">21283</t>
  </si>
  <si>
    <t xml:space="preserve">KAY-0482</t>
  </si>
  <si>
    <t xml:space="preserve">10145</t>
  </si>
  <si>
    <t xml:space="preserve">KAY-0483</t>
  </si>
  <si>
    <t xml:space="preserve">9824</t>
  </si>
  <si>
    <t xml:space="preserve">KAY-0484</t>
  </si>
  <si>
    <t xml:space="preserve">10116</t>
  </si>
  <si>
    <t xml:space="preserve">MY  1000/2273020005</t>
  </si>
  <si>
    <t xml:space="preserve">KAY-0485</t>
  </si>
  <si>
    <t xml:space="preserve">21079</t>
  </si>
  <si>
    <t xml:space="preserve">KAY-0486</t>
  </si>
  <si>
    <t xml:space="preserve">9829</t>
  </si>
  <si>
    <t xml:space="preserve">KAY-0487</t>
  </si>
  <si>
    <t xml:space="preserve">21063</t>
  </si>
  <si>
    <t xml:space="preserve">KAY-0488</t>
  </si>
  <si>
    <t xml:space="preserve">10091</t>
  </si>
  <si>
    <t xml:space="preserve">KAY-0489</t>
  </si>
  <si>
    <t xml:space="preserve">10138</t>
  </si>
  <si>
    <t xml:space="preserve">KAY-0490</t>
  </si>
  <si>
    <t xml:space="preserve">10161</t>
  </si>
  <si>
    <t xml:space="preserve">KAY-0491</t>
  </si>
  <si>
    <t xml:space="preserve">10142</t>
  </si>
  <si>
    <t xml:space="preserve">KAY-0492</t>
  </si>
  <si>
    <t xml:space="preserve">9823</t>
  </si>
  <si>
    <t xml:space="preserve">KAY-0493</t>
  </si>
  <si>
    <t xml:space="preserve">10133</t>
  </si>
  <si>
    <t xml:space="preserve">KAY-0494</t>
  </si>
  <si>
    <t xml:space="preserve">21282</t>
  </si>
  <si>
    <t xml:space="preserve">KAY-0495</t>
  </si>
  <si>
    <t xml:space="preserve">10123</t>
  </si>
  <si>
    <t xml:space="preserve">KAY-0496</t>
  </si>
  <si>
    <t xml:space="preserve">10134</t>
  </si>
  <si>
    <t xml:space="preserve">KAY-0497</t>
  </si>
  <si>
    <t xml:space="preserve">KAY-0498</t>
  </si>
  <si>
    <t xml:space="preserve">21042</t>
  </si>
  <si>
    <t xml:space="preserve">KAY-0499</t>
  </si>
  <si>
    <t xml:space="preserve">KAY-0500</t>
  </si>
  <si>
    <t xml:space="preserve">20826</t>
  </si>
  <si>
    <t xml:space="preserve">KAY-0501</t>
  </si>
  <si>
    <t xml:space="preserve">10135</t>
  </si>
  <si>
    <t xml:space="preserve">KAY-0502</t>
  </si>
  <si>
    <t xml:space="preserve">20819</t>
  </si>
  <si>
    <t xml:space="preserve">KAY-0503</t>
  </si>
  <si>
    <t xml:space="preserve">21285</t>
  </si>
  <si>
    <t xml:space="preserve">KAY-0504</t>
  </si>
  <si>
    <t xml:space="preserve">21052</t>
  </si>
  <si>
    <t xml:space="preserve">KAY-0505</t>
  </si>
  <si>
    <t xml:space="preserve">KAY-0506</t>
  </si>
  <si>
    <t xml:space="preserve">10152</t>
  </si>
  <si>
    <t xml:space="preserve">KAY-0507</t>
  </si>
  <si>
    <t xml:space="preserve">KAY-0508</t>
  </si>
  <si>
    <t xml:space="preserve">7400004012</t>
  </si>
  <si>
    <t xml:space="preserve">3148</t>
  </si>
  <si>
    <t xml:space="preserve">34MKR404</t>
  </si>
  <si>
    <t xml:space="preserve">A-34MKR404</t>
  </si>
  <si>
    <t xml:space="preserve">KAY-0509</t>
  </si>
  <si>
    <t xml:space="preserve">3150</t>
  </si>
  <si>
    <t xml:space="preserve">34KSL388</t>
  </si>
  <si>
    <t xml:space="preserve">A-34KSL388</t>
  </si>
  <si>
    <t xml:space="preserve">MEKANİK BİRİMİ HAVUZ ARACI</t>
  </si>
  <si>
    <t xml:space="preserve">KAY-0510</t>
  </si>
  <si>
    <t xml:space="preserve">14689</t>
  </si>
  <si>
    <t xml:space="preserve">KAY-0511</t>
  </si>
  <si>
    <t xml:space="preserve">14671</t>
  </si>
  <si>
    <t xml:space="preserve">KAY-0512</t>
  </si>
  <si>
    <t xml:space="preserve">3560</t>
  </si>
  <si>
    <t xml:space="preserve">KAY-0513</t>
  </si>
  <si>
    <t xml:space="preserve">7400004103</t>
  </si>
  <si>
    <t xml:space="preserve">KAY-0514</t>
  </si>
  <si>
    <t xml:space="preserve">KAY-0515</t>
  </si>
  <si>
    <t xml:space="preserve">7400004108</t>
  </si>
  <si>
    <t xml:space="preserve">KAY-0516</t>
  </si>
  <si>
    <t xml:space="preserve">KAY-0517</t>
  </si>
  <si>
    <t xml:space="preserve">7400007000</t>
  </si>
  <si>
    <t xml:space="preserve">KAY-0518</t>
  </si>
  <si>
    <t xml:space="preserve">KAY-0519</t>
  </si>
  <si>
    <t xml:space="preserve">KAY-0520</t>
  </si>
  <si>
    <t xml:space="preserve">KAY-0521</t>
  </si>
  <si>
    <t xml:space="preserve">KAY-0522</t>
  </si>
  <si>
    <t xml:space="preserve">KAY-0523</t>
  </si>
  <si>
    <t xml:space="preserve">KAY-0524</t>
  </si>
  <si>
    <t xml:space="preserve">KAY-0525</t>
  </si>
  <si>
    <t xml:space="preserve">KAY-0526</t>
  </si>
  <si>
    <t xml:space="preserve">KAY-0527</t>
  </si>
  <si>
    <t xml:space="preserve">KAY-0528</t>
  </si>
  <si>
    <t xml:space="preserve">KAY-0529</t>
  </si>
  <si>
    <t xml:space="preserve">7400007501</t>
  </si>
  <si>
    <t xml:space="preserve">A-34EUE326</t>
  </si>
  <si>
    <t xml:space="preserve">KURTULUŞ KARADAĞ (İADE EDİLDİ)</t>
  </si>
  <si>
    <t xml:space="preserve">KAY-0530</t>
  </si>
  <si>
    <t xml:space="preserve">KAY-0531</t>
  </si>
  <si>
    <t xml:space="preserve">5-OTOPARK-MEHMET CÜNEYT TÜFEKÇIOĞLU</t>
  </si>
  <si>
    <t xml:space="preserve">KAY-0532</t>
  </si>
  <si>
    <t xml:space="preserve">14415</t>
  </si>
  <si>
    <t xml:space="preserve">HGS 34EUE326/34HZE686/34HZE686/34EUE315</t>
  </si>
  <si>
    <t xml:space="preserve">EKİM TUR. TİC. VE SAN. A.Ş.</t>
  </si>
  <si>
    <t xml:space="preserve">KAY-0533</t>
  </si>
  <si>
    <t xml:space="preserve">KAY-0534</t>
  </si>
  <si>
    <t xml:space="preserve">KAY-0535</t>
  </si>
  <si>
    <t xml:space="preserve">3605</t>
  </si>
  <si>
    <t xml:space="preserve">KAY-0536</t>
  </si>
  <si>
    <t xml:space="preserve">KAY-0537</t>
  </si>
  <si>
    <t xml:space="preserve">9216</t>
  </si>
  <si>
    <t xml:space="preserve">tahsih zmas 21</t>
  </si>
  <si>
    <t xml:space="preserve">KAY-0538</t>
  </si>
  <si>
    <t xml:space="preserve">9211</t>
  </si>
  <si>
    <t xml:space="preserve">KAY-0539</t>
  </si>
  <si>
    <t xml:space="preserve">KAY-0540</t>
  </si>
  <si>
    <t xml:space="preserve">7400009000</t>
  </si>
  <si>
    <t xml:space="preserve">CEP TELEFON GİDERLERİ</t>
  </si>
  <si>
    <t xml:space="preserve">KAY-0541</t>
  </si>
  <si>
    <t xml:space="preserve">KAY-0542</t>
  </si>
  <si>
    <t xml:space="preserve">KAY-0543</t>
  </si>
  <si>
    <t xml:space="preserve">KAY-0544</t>
  </si>
  <si>
    <t xml:space="preserve">KAY-0545</t>
  </si>
  <si>
    <t xml:space="preserve">KAY-0546</t>
  </si>
  <si>
    <t xml:space="preserve">KAY-0547</t>
  </si>
  <si>
    <t xml:space="preserve">19637</t>
  </si>
  <si>
    <t xml:space="preserve">CEP TELF KESİNTİSİ</t>
  </si>
  <si>
    <t xml:space="preserve">KAY-0548</t>
  </si>
  <si>
    <t xml:space="preserve">16862</t>
  </si>
  <si>
    <t xml:space="preserve">T-5360103394</t>
  </si>
  <si>
    <t xml:space="preserve">ELEKTRİK ATÖLYE POMPA İST.DATA</t>
  </si>
  <si>
    <t xml:space="preserve">KAY-0549</t>
  </si>
  <si>
    <t xml:space="preserve">KAY-0550</t>
  </si>
  <si>
    <t xml:space="preserve">3733</t>
  </si>
  <si>
    <t xml:space="preserve">KAY-0551</t>
  </si>
  <si>
    <t xml:space="preserve">7400009001</t>
  </si>
  <si>
    <t xml:space="preserve">8827</t>
  </si>
  <si>
    <t xml:space="preserve">2025 OCAK ARAÇ KİRA GİDER DÜZELTME</t>
  </si>
  <si>
    <t xml:space="preserve">KAY-0552</t>
  </si>
  <si>
    <t xml:space="preserve">20133</t>
  </si>
  <si>
    <t xml:space="preserve">2025 ŞUBAT ARAÇ KİRA GİDER DÜZELTME</t>
  </si>
  <si>
    <t xml:space="preserve">KAY-0553</t>
  </si>
  <si>
    <t xml:space="preserve">KAY-0554</t>
  </si>
  <si>
    <t xml:space="preserve">KAY-0555</t>
  </si>
  <si>
    <t xml:space="preserve">7400009990</t>
  </si>
  <si>
    <t xml:space="preserve">KAY-0556</t>
  </si>
  <si>
    <t xml:space="preserve">KAY-0557</t>
  </si>
  <si>
    <t xml:space="preserve">KAY-0558</t>
  </si>
  <si>
    <t xml:space="preserve">KAY-0559</t>
  </si>
  <si>
    <t xml:space="preserve">20134</t>
  </si>
  <si>
    <t xml:space="preserve">KAY-0560</t>
  </si>
  <si>
    <t xml:space="preserve">KAY-0561</t>
  </si>
  <si>
    <t xml:space="preserve">KAY-0562</t>
  </si>
  <si>
    <t xml:space="preserve">8829</t>
  </si>
  <si>
    <t xml:space="preserve">KAY-0563</t>
  </si>
  <si>
    <t xml:space="preserve">7400009992</t>
  </si>
  <si>
    <t xml:space="preserve">VERGI RESIM HARCLAR K.K.E.G.</t>
  </si>
  <si>
    <t xml:space="preserve">KAY-0564</t>
  </si>
  <si>
    <t xml:space="preserve">KAY-0565</t>
  </si>
  <si>
    <t xml:space="preserve">KAY-0566</t>
  </si>
  <si>
    <t xml:space="preserve">KAY-0567</t>
  </si>
  <si>
    <t xml:space="preserve">KAY-0568</t>
  </si>
  <si>
    <t xml:space="preserve">KAY-0569</t>
  </si>
  <si>
    <t xml:space="preserve">KAY-0570</t>
  </si>
  <si>
    <t xml:space="preserve">KAY-0571</t>
  </si>
  <si>
    <t xml:space="preserve">KAY-0572</t>
  </si>
  <si>
    <t xml:space="preserve">KAY-0573</t>
  </si>
  <si>
    <t xml:space="preserve">7400009994</t>
  </si>
  <si>
    <t xml:space="preserve">DIGER K.K.E.G.</t>
  </si>
  <si>
    <t xml:space="preserve">LPE2025000000277-KKEG/YEMEK-İÇ SEYAHAT(KDV ORANI %</t>
  </si>
  <si>
    <t xml:space="preserve">KAY-0574</t>
  </si>
  <si>
    <t xml:space="preserve">Z6G2025000000698-KKEG/YEMEK-İÇ SEYAHAT(KDV ORANI %</t>
  </si>
  <si>
    <t xml:space="preserve">KAY-0575</t>
  </si>
  <si>
    <t xml:space="preserve">4424</t>
  </si>
  <si>
    <t xml:space="preserve">--KKEG/BELGESİZ GİDER -ADANA YAPIKİM KARGO ÜCRETİ-</t>
  </si>
  <si>
    <t xml:space="preserve">KAY-0576</t>
  </si>
  <si>
    <t xml:space="preserve">KAY-0577</t>
  </si>
  <si>
    <t xml:space="preserve">KAY-0578</t>
  </si>
  <si>
    <t xml:space="preserve">KAY-0579</t>
  </si>
  <si>
    <t xml:space="preserve">KAY-0580</t>
  </si>
  <si>
    <t xml:space="preserve">7700007501</t>
  </si>
  <si>
    <t xml:space="preserve">6058</t>
  </si>
  <si>
    <t xml:space="preserve">7-KURTULUŞ KARADAĞ ARAÇ YIKAMA ÜCRETİ-CARR RALLY O</t>
  </si>
  <si>
    <t xml:space="preserve">KAY-0581</t>
  </si>
  <si>
    <t xml:space="preserve">KAY-0582</t>
  </si>
  <si>
    <t xml:space="preserve">6056</t>
  </si>
  <si>
    <t xml:space="preserve">1-34 MKR 404 YIKAMA ÜCRETİ-CARR RALLY OTO YIKAMA-O</t>
  </si>
  <si>
    <t xml:space="preserve">KAY-0583</t>
  </si>
  <si>
    <t xml:space="preserve">KAY-0584</t>
  </si>
  <si>
    <t xml:space="preserve">7700009991</t>
  </si>
  <si>
    <t xml:space="preserve">ARAÇ K.K.E.G.</t>
  </si>
  <si>
    <t xml:space="preserve">KAY-0585</t>
  </si>
  <si>
    <t xml:space="preserve">4-KURTULUŞ KARADAĞ ARAÇ YIKAMA ÜCRETİ-CARR RALLY O</t>
  </si>
  <si>
    <t xml:space="preserve">MASRAF YERİ BAZLI ÖZET (Ocak-Mart 2025, TRY)</t>
  </si>
  <si>
    <t xml:space="preserve">Masraf Yeri</t>
  </si>
  <si>
    <t xml:space="preserve">Toplam TRY</t>
  </si>
  <si>
    <t xml:space="preserve">Pay %</t>
  </si>
  <si>
    <t xml:space="preserve">TOPLAM</t>
  </si>
  <si>
    <t xml:space="preserve">SATIN ALMA VE TEDARİK TAKİBİ</t>
  </si>
  <si>
    <t xml:space="preserve">SAT_ID</t>
  </si>
  <si>
    <t xml:space="preserve">Talep_No</t>
  </si>
  <si>
    <t xml:space="preserve">Malzeme_Hizmet</t>
  </si>
  <si>
    <t xml:space="preserve">Miktar</t>
  </si>
  <si>
    <t xml:space="preserve">Birim</t>
  </si>
  <si>
    <t xml:space="preserve">Teklif_Durum</t>
  </si>
  <si>
    <t xml:space="preserve">Siparis_No</t>
  </si>
  <si>
    <t xml:space="preserve">Tedarikçi</t>
  </si>
  <si>
    <t xml:space="preserve">Plan_Teslim_Tarihi</t>
  </si>
  <si>
    <t xml:space="preserve">Ger_Teslim_Tarihi</t>
  </si>
  <si>
    <t xml:space="preserve">Siparis_Tutari_TL</t>
  </si>
  <si>
    <t xml:space="preserve">Kabul_Durumu</t>
  </si>
  <si>
    <t xml:space="preserve">SAT-001</t>
  </si>
  <si>
    <t xml:space="preserve">LS-02 SIL sertifikalı seviye transmitteri (T-303 için)</t>
  </si>
  <si>
    <t xml:space="preserve">Adet</t>
  </si>
  <si>
    <t xml:space="preserve">Teklif Bekleniyor</t>
  </si>
  <si>
    <t xml:space="preserve">30.11.2026</t>
  </si>
  <si>
    <t xml:space="preserve">Bekliyor</t>
  </si>
  <si>
    <t xml:space="preserve">HAZOP A-002 aksiyonu kapsamında</t>
  </si>
  <si>
    <t xml:space="preserve">SAT-002</t>
  </si>
  <si>
    <t xml:space="preserve">Muayene hizmeti — Out-of-service raporu (Formaldehit tankları)</t>
  </si>
  <si>
    <t xml:space="preserve">Lot</t>
  </si>
  <si>
    <t xml:space="preserve">Teklif Hazırlanıyor</t>
  </si>
  <si>
    <t xml:space="preserve">Uygun Değil 7 tank için out-of-service muayenesi</t>
  </si>
  <si>
    <t xml:space="preserve">SAT-003</t>
  </si>
  <si>
    <t xml:space="preserve">İskele hizmeti (Pilot Reaktör taşınması)</t>
  </si>
  <si>
    <t xml:space="preserve">Maliyet Analizinde</t>
  </si>
  <si>
    <t xml:space="preserve">61695.0</t>
  </si>
  <si>
    <t xml:space="preserve">POL-MBO-PRT-2026-001 Rev.01 kalem 3.8</t>
  </si>
  <si>
    <t xml:space="preserve">TEKNİK UYGUNSUZLUKLAR, RİSKLER VE HAZOP AKSİYONLARI</t>
  </si>
  <si>
    <t xml:space="preserve">Kaynak: HAZOP Aksiyon Listesi (23.09.2026) — 220 aksiyon + tank muayene uygunsuzlukları</t>
  </si>
  <si>
    <t xml:space="preserve">UYG_ID</t>
  </si>
  <si>
    <t xml:space="preserve">Kaynak</t>
  </si>
  <si>
    <t xml:space="preserve">Firma</t>
  </si>
  <si>
    <t xml:space="preserve">Ünite</t>
  </si>
  <si>
    <t xml:space="preserve">Node_No</t>
  </si>
  <si>
    <t xml:space="preserve">HAZOP_No</t>
  </si>
  <si>
    <t xml:space="preserve">Aksiyon_Türü</t>
  </si>
  <si>
    <t xml:space="preserve">Olası_Neden</t>
  </si>
  <si>
    <t xml:space="preserve">Olası_Sonuç</t>
  </si>
  <si>
    <t xml:space="preserve">Kapama_Tarihi</t>
  </si>
  <si>
    <t xml:space="preserve">TANK-003</t>
  </si>
  <si>
    <t xml:space="preserve">Tank Muayene</t>
  </si>
  <si>
    <t xml:space="preserve">POLİSAN</t>
  </si>
  <si>
    <t xml:space="preserve">Muayene Uygunsuzluğu</t>
  </si>
  <si>
    <t xml:space="preserve">Durum: Uygun Değil</t>
  </si>
  <si>
    <t xml:space="preserve">Periyodik muayene yetersizliği; teknik uygunsuzluk riski</t>
  </si>
  <si>
    <t xml:space="preserve">Tank: FORMALDEHİT TANKI | Hacim: 270.0 m³</t>
  </si>
  <si>
    <t xml:space="preserve">TANK-004</t>
  </si>
  <si>
    <t xml:space="preserve">Tank: FORMALDEHIT TANKI-2 | Hacim: 289.0 m³</t>
  </si>
  <si>
    <t xml:space="preserve">TANK-005</t>
  </si>
  <si>
    <t xml:space="preserve">Tank: FORMALDEHIT TANKI-3 | Hacim: 289.0 m³</t>
  </si>
  <si>
    <t xml:space="preserve">TANK-006</t>
  </si>
  <si>
    <t xml:space="preserve">Tank: FORMALDEHIT TANKI-4 | Hacim: 510.0 m³</t>
  </si>
  <si>
    <t xml:space="preserve">TANK-007</t>
  </si>
  <si>
    <t xml:space="preserve">Tank: FORMALDEHIT TANKI-5 | Hacim: 511.0 m³</t>
  </si>
  <si>
    <t xml:space="preserve">TANK-008</t>
  </si>
  <si>
    <t xml:space="preserve">Tank: FORMALDEHIT TANKI-6 | Hacim: 115.0 m³</t>
  </si>
  <si>
    <t xml:space="preserve">TANK-009</t>
  </si>
  <si>
    <t xml:space="preserve">Tank: FORMALDEHIT TANKI-8 | Hacim: 100.0 m³</t>
  </si>
  <si>
    <t xml:space="preserve">TANK-011</t>
  </si>
  <si>
    <t xml:space="preserve">Durum: Uygunsuz</t>
  </si>
  <si>
    <t xml:space="preserve">Tank: FENOL TANKI | Hacim: 119.0 m³</t>
  </si>
  <si>
    <t xml:space="preserve">TANK-014</t>
  </si>
  <si>
    <t xml:space="preserve">Tank: KONDENS TANKI | Hacim: 13.0 m³</t>
  </si>
  <si>
    <t xml:space="preserve">TANK-016</t>
  </si>
  <si>
    <t xml:space="preserve">Durum: Kontrolü yok</t>
  </si>
  <si>
    <t xml:space="preserve">Tank: SU TANKI | Hacim: 115.0 m³</t>
  </si>
  <si>
    <t xml:space="preserve">TANK-061</t>
  </si>
  <si>
    <t xml:space="preserve">Tank: FORMALDEHİT TANKI | Hacim: 270 m³</t>
  </si>
  <si>
    <t xml:space="preserve">TANK-062</t>
  </si>
  <si>
    <t xml:space="preserve">Tank: FORMALDEHIT TANKI-2 | Hacim: 289 m³</t>
  </si>
  <si>
    <t xml:space="preserve">TANK-063</t>
  </si>
  <si>
    <t xml:space="preserve">Tank: FORMALDEHIT TANKI-3 | Hacim: 289 m³</t>
  </si>
  <si>
    <t xml:space="preserve">TANK-064</t>
  </si>
  <si>
    <t xml:space="preserve">Tank: FORMALDEHIT TANKI-4 | Hacim: 510 m³</t>
  </si>
  <si>
    <t xml:space="preserve">TANK-065</t>
  </si>
  <si>
    <t xml:space="preserve">Tank: FORMALDEHIT TANKI-5 | Hacim: 511 m³</t>
  </si>
  <si>
    <t xml:space="preserve">TANK-066</t>
  </si>
  <si>
    <t xml:space="preserve">Tank: FORMALDEHIT TANKI-6 | Hacim: 115 m³</t>
  </si>
  <si>
    <t xml:space="preserve">TANK-067</t>
  </si>
  <si>
    <t xml:space="preserve">Tank: FORMALDEHIT TANKI-8 | Hacim: 100 m³</t>
  </si>
  <si>
    <t xml:space="preserve">TANK-069</t>
  </si>
  <si>
    <t xml:space="preserve">Tank: FENOL TANKI | Hacim: 119 m³</t>
  </si>
  <si>
    <t xml:space="preserve">TANK-071</t>
  </si>
  <si>
    <t xml:space="preserve">Tank: KONDENS TANKI | Hacim: 13 m³</t>
  </si>
  <si>
    <t xml:space="preserve">TANK-073</t>
  </si>
  <si>
    <t xml:space="preserve">Tank: SU TANKI | Hacim: 115 m³</t>
  </si>
  <si>
    <t xml:space="preserve">A-001</t>
  </si>
  <si>
    <t xml:space="preserve">HAZOP 2026</t>
  </si>
  <si>
    <t xml:space="preserve">POLİSANK</t>
  </si>
  <si>
    <t xml:space="preserve">2.1 IPL - Temel Proses Kontrol Sistemi</t>
  </si>
  <si>
    <t xml:space="preserve">BV-016 tag numaralı manuel vananın operatör tarafından açık bırakılması hatası
(Tankerden tanka dolum)</t>
  </si>
  <si>
    <t xml:space="preserve">BV-016 tag numaralı manuel vananın operatör tarafından açık bırakılması hatası sonucu T-303 tankında seviye yükselmesine bağlı taşma ile  yangın ve patlama riski veya toksik yayılım ve kimyasal maruziyet riski</t>
  </si>
  <si>
    <t xml:space="preserve">T-303 tag numaralı tankın üzerinde mevcut olan LS-01 tag numaralı seviye sivicinden tank içerisinde seviyenin yüksek olduğunu algılaması sonucu
FCV-07 VE FCV-08 VE FCV-10 proses kontrol vanaları PLC üzerinden otomatik olarak P-05 tag numaralı pompa driverdan durdurulacaktır.</t>
  </si>
  <si>
    <t xml:space="preserve">A-002</t>
  </si>
  <si>
    <t xml:space="preserve">21, 22</t>
  </si>
  <si>
    <t xml:space="preserve">3. IPL - SIS</t>
  </si>
  <si>
    <t xml:space="preserve">T-303 tag numaralı tankın üzerine konulacak olan LS-02 tag numaralı SIL sertifikalı seviye transmitteri/çatal tipli seviye sivicinden tankın içerisinde yüksek seviye olmasını algılaması sonucu LAHH alarmı üzerinde safety PLC üzerinden P-05 tag numaralı PLe/d sertifikalı kontaktörden pompanın enerjisi kesilecektir.</t>
  </si>
  <si>
    <t xml:space="preserve">A-003</t>
  </si>
  <si>
    <t xml:space="preserve">4. IPL - Fiziksel Bariyer</t>
  </si>
  <si>
    <t xml:space="preserve">T-303 tag numaralı tankın etrafında taşmanın tamamını alacak kapasitede tank havuzu mevcuttur. T-303 tag numaralı tankın etrafında taşmanın tamamını alacak ve ayrıca 24 yılda yağacak en fazla yağmur suyunu veya itfaiyenin sıkacağı söndürme suyunu alabilecek kapasitede tank havuzu mevcuttur.Tank havuzunun sızdırmazlığı ve statik yüke dayanımı ile ilgili rapor alınacaktır.</t>
  </si>
  <si>
    <t xml:space="preserve">A-004</t>
  </si>
  <si>
    <t xml:space="preserve">17, 18, 19, 28</t>
  </si>
  <si>
    <t xml:space="preserve">Tankerden T-303 tag numaralı tanka dolum yapılırken topraklama bağlantısı yapılmadan tanker vanasının açılması hatası
(Tankerden Tanka Dolum)</t>
  </si>
  <si>
    <t xml:space="preserve">Tankerden T-303 tag numaralı tanka dolum yapılırken topraklama bağlantısı yapılmadan tanker vanasının açılması hatası sonucunda statik elektrik nedeni ile yangın ve patlama riski</t>
  </si>
  <si>
    <t xml:space="preserve">T-303 tag numaralı tanka besleme yapan P-05 tag numaralı pompanın besleme debileri IEC 60079-32-1 standartına uygun şekilde sınırlandırılacaktır. Doğrusal akış hızı hiçbir zaman 7 m/s'yi aşmamalıdır. Düşük iletkenlikli sıvıların kısa (N=1), sabit yatay eksenli tanklara 40'lık borularla yüklenmesi için hız ve dolum oranı sınırları 60079-32-1 7.3.2.3.5.3 sabit tanklar için limitlere göre hesaplanmalıdır ve Tablo 10’da belirtilen limit değerleri aşmadığı raporlanmalıdır. Pompa debileri hesaplanılan</t>
  </si>
  <si>
    <t xml:space="preserve">A-005</t>
  </si>
  <si>
    <t xml:space="preserve">18, 19, 28</t>
  </si>
  <si>
    <t xml:space="preserve">T-303 tag nolu tankında statik elektriği önlemek üzere eşbara potansiyel topraklama mevcuttur. Ara atlamalar yapılacaktır</t>
  </si>
  <si>
    <t xml:space="preserve">A-006</t>
  </si>
  <si>
    <t xml:space="preserve">11, 17</t>
  </si>
  <si>
    <t xml:space="preserve">P-05 tag numaralı pompa kapatma hatası vererek çalışmaya devam etmesi üzerine hatta yüksek akış sebebiyle statik elektriklenme hatası
(Tankerden Tanka Dolum)</t>
  </si>
  <si>
    <t xml:space="preserve">P-05 tag numaralı pompa kapatma hatası vererek çalışmaya devam etmesi üzerine hatta yüksek akış sebebiyle statik elektriklenme hatası sonucu tank içinde yangın ve patlama</t>
  </si>
  <si>
    <t xml:space="preserve">T-303 tag nolu tankında statik elektriği önlemek üzere eşbara potansiyel topraklama mevcuttur ve ara atlamalar tamamlanacaktır.</t>
  </si>
  <si>
    <t xml:space="preserve">A-007</t>
  </si>
  <si>
    <t xml:space="preserve">14, 15</t>
  </si>
  <si>
    <t xml:space="preserve">T-303 tankından (P-01den P-05 e) pompalar ile tesise metanol gönderilirken N2PRV-001 tag numaralı azot regülatörü arızası</t>
  </si>
  <si>
    <t xml:space="preserve">T-303 tankından (P-01den P-05 e) pompalar ile tesise metanol gönderilirken N2PRV-001 tag numaralı azot regülatörü arızası ile azot basıncının azalması ile T-303 tag numaralı ekipmanda vakum oluşumu sonucu bütünlük kaybı ile yangın ve patlama ihtimali</t>
  </si>
  <si>
    <t xml:space="preserve">T-303 tag numaralı tank üzerine konulacak olan XXX tag numaralı basınç transmitteri tankta -0.2 mbar basıncı algılaması sonucu PLC üzerinden otomatik olarak DN25-PPG-005-CS line numaralı hattında yedeklenecek olan XX tag numaralı azot regülatörü devreye alınarak azot beslemesi sağlanacaktır. (2.1. IPL)</t>
  </si>
  <si>
    <t xml:space="preserve">A-008</t>
  </si>
  <si>
    <t xml:space="preserve">1, 2</t>
  </si>
  <si>
    <t xml:space="preserve">Node 1: 1, 2, 3, 7, 8, 9, 10, 12, 15, 30
Node 2: 10</t>
  </si>
  <si>
    <t xml:space="preserve">T-303 tag numaralı tankın etrafında taşmanın tamamını alacak kapasitede tank havuzu mevcuttur. T-303 tag numaralı tankın etrafında taşmanın tamamını alacak ve ayrıca 24 yılda yağacak en fazla yağmur suyunu veya itfaiyenin sıkacağı söndürme suyunu alabilecek kapasitede tank havuzu mevcuttur. Tank havuzunun sızdırmazlığı ve statik yüke dayanımı ile ilgili rapor alınacaktır. Aynı zamanda toksik olan metanol buharının etrafa yayılmaması için tank havuzuna köpük basılması için aksiyon alınacaktır.</t>
  </si>
  <si>
    <t xml:space="preserve">A-009</t>
  </si>
  <si>
    <t xml:space="preserve">PV-01/PV-02 tag numaralı vakum kırıcı emniyet ventili mevcuttur. Emniyet ventillerinin validasyon ve verifikasyonu yapılmalıdır.</t>
  </si>
  <si>
    <t xml:space="preserve">A-010</t>
  </si>
  <si>
    <t xml:space="preserve">TK-1201 tag numaralı azot tankının seviyesinin operatör tarafından müdahale edilmeme hatası</t>
  </si>
  <si>
    <t xml:space="preserve">TK-1201 tag numaralı azot tankının seviyesinin operatör tarafından müdahale edilmeme hatası sonucu azot girişinin olmaması ile  T-303 tag numaralı ekipmanda oksijen girişi yangın ve patlama ihtimali</t>
  </si>
  <si>
    <t xml:space="preserve">TK-1201 tag numaralı azot tankı üzerine konulacak olan XXXXX tag numaralı basınç/seviye transmitterinden (seviyenin %40 olması) algılaması sonucu PLC üzerinden alarm üzerine DN25-PPG-005-CS line üzerinde bulunan FCV-03 tag numaralı proses kontrol vanası açık kalması sağlanacak ancak T-303 tankında basıncın artması sonucu kapalı kalması sağlanacaktır.</t>
  </si>
  <si>
    <t xml:space="preserve">A-011</t>
  </si>
  <si>
    <t xml:space="preserve">2.2 IPL - Operatör Eylemi</t>
  </si>
  <si>
    <t xml:space="preserve">TK-1201 tag numaralı azot tankı üzerine konulacak olan XXX tag numaralı basınç/seviye transmitterinden (seviyenin %50 olması) algılaması sonucu PLC üzerinden alarm üzerine HABAŞ tarafına sipariş oluşturulması sağlanacaktır.</t>
  </si>
  <si>
    <t xml:space="preserve">A-012</t>
  </si>
  <si>
    <t xml:space="preserve">N2PRV-001 tag numaralı azot regülatörü arızası ile ekipmana oksijen girişi hatası</t>
  </si>
  <si>
    <t xml:space="preserve">N2PRV-001 tag numaralı azot regülatörü arızası ile azot basıncının azalması ile T-303 tag numaralı ekipmanda oksijen girişi hatası sonucu yangın ve patlama ihtimali</t>
  </si>
  <si>
    <t xml:space="preserve">DN25-PPG-005-CS line numaralı hatta XX tag numaralı azot regülatörü takılacaktır (regülatör yedeklenecektir).</t>
  </si>
  <si>
    <t xml:space="preserve">A-013</t>
  </si>
  <si>
    <t xml:space="preserve">8, 9</t>
  </si>
  <si>
    <t xml:space="preserve">LS-01 seviye sivici hatası
(Komşu Tesisten Tanka Dolum)</t>
  </si>
  <si>
    <t xml:space="preserve">LS-01 seviye sivici hatası sonucu T-303 tag numaralı tankında seviye yükselmesine bağlı taşma ile çevreye yayılma sonucu yangın ve patlama riski veya toksik yayılım ve kimyasal maruziyet riski</t>
  </si>
  <si>
    <t xml:space="preserve">SIL seviyesindeki taşma kontrol sisteminin validasyon ve verifikasyonu yapılarak SRS dokümanı hazırlanması gerekmektedir ayrıca FSA-1 den FSA-5 e kadar yaşam döngüsü kurulacaktır ve proof testler yapılacaktır.</t>
  </si>
  <si>
    <t xml:space="preserve">A-014</t>
  </si>
  <si>
    <t xml:space="preserve">7, 12</t>
  </si>
  <si>
    <t xml:space="preserve">TK75PMP (310047013) tag numaralı poliport metanol besleme pompasının mekaniksel olarak açık kalması hatası
(Komşu Tesisten Tanka Dolum)</t>
  </si>
  <si>
    <t xml:space="preserve">TK75PMP (310047013) tag numaralı poliport metanol besleme pompasının mekaniksel olarak açık kalması hatası sonucu T-303 tag numaralı tankında seviye yükselmesine bağlı taşma ile yangın ve patlama riski veya toksik yayılım ve kimyasal maruziyet riski</t>
  </si>
  <si>
    <t xml:space="preserve">T-303 tag numaralı tankın üzerinde bulunan LS-01 tag numaralı seviye switchinden tank içerisinde seviyenin yüksek olduğunu algılaması sonucu PLC üzerinden sesli ve ışıklı alarm vererek operatör tarafından komşu tesis ile iletişime geçilir ve komşu tesis pompasının şalterden enerjisi kesilerek kapatacaktır. LS-01 tag numaralı seviye switchinden LSHH-01 sinyali alınarak PLC üzerinden otomatik olarak FCV-02 tag numaralı proses kontrol vanası kapatılacaktır. .</t>
  </si>
  <si>
    <t xml:space="preserve">A-015</t>
  </si>
  <si>
    <t xml:space="preserve">SIL2 seviyesindeki taşma kontrol sisteminin validasyon ve verifikasyonu yapılarak SRS dokümanı hazırlanması gerekmektedir ayrıca FSA-1 den FSA-5 e kadar yaşam döngüsü kurulacaktır ve proof testler yapılacaktır.</t>
  </si>
  <si>
    <t xml:space="preserve">A-016</t>
  </si>
  <si>
    <t xml:space="preserve">T-303 tag numaralı tanka ait PV-01 tag numaralı basınç ventili tıkanması hatası
(Komşu Tesisten Tanka Dolum)</t>
  </si>
  <si>
    <t xml:space="preserve">T-303 tag numaralı tanka ait PV-01 tag numaralı basınç ventilinin operatör tarafından bakım/onarım esnasında veya herhangi bir sebeple tıkanması ile tankı vakuma girmesi sonucunda tankta bütünlük kaybıyla sızıntı ile yangın ve patlama riski veya toksik yayılım ve kimyasal maruziyet riski</t>
  </si>
  <si>
    <t xml:space="preserve">PV-02 tag numaralı emniyet ventili mevcuttur vakuma girmesi durumunda açılarak basınç dengesi oluşturulacaktır. Emniyet ventillerinin validasyon ve verifikasyonu yapılacaktır.</t>
  </si>
  <si>
    <t xml:space="preserve">A-017</t>
  </si>
  <si>
    <t xml:space="preserve">LT-01 seviye transmitteri hatası
(Komşu Tesisten Tanka Dolum)</t>
  </si>
  <si>
    <t xml:space="preserve">LT-01 seviye transmitteri hatası sonucu T-303 tag numaralı tankında seviye yükselmesine bağlı taşma ile yangın ve patlama riski veya toksik yayılım ve kimyasal maruziyet riski</t>
  </si>
  <si>
    <t xml:space="preserve">T-303 tag numaralı tankın üzerinde bulunan LS-01 tag numaralı seviye sivicinden tank içerisinde seviyenin yüksek olduğunu algılaması sonucu PLC üzerinden otomatik olarak FCV-02 tag numaralı proses kontrol vanasını kapatacaktır. Ayriyeten gelen alarm üzerine ve hattın basınca uğramaması için operatör komşu tesis ile iletişime geçerek TK75PMP (310047013) tag numaralı poliport metanol besleme pompasını kapattıracaktır.</t>
  </si>
  <si>
    <t xml:space="preserve">A-018</t>
  </si>
  <si>
    <t xml:space="preserve">Oksit Tesisi</t>
  </si>
  <si>
    <t xml:space="preserve">Harici Senaryolar</t>
  </si>
  <si>
    <t xml:space="preserve">42</t>
  </si>
  <si>
    <t xml:space="preserve">C101 absorbsiyon kolonu üzerinde bulunan LHS-102 tag numaralı seviye switchi hatası</t>
  </si>
  <si>
    <t xml:space="preserve">C101 absorbsiyon kolonu üzerinde bulunan LHS-102 tag numaralı seviye switchi hatası sonucunda C101 absorbsiyon kolonunda seviye artışına bağlı T-101 - T-104 tag numaralı evaporatörüne doğru hattı basınçlandırması sonucu sıcaklık artışı ile patlama riski</t>
  </si>
  <si>
    <t xml:space="preserve">P-103a tag numaralı pompanın başlatma hatası veya driver hatası durumunda otomasyonda FG-109 tag numaralı inventörden algılayarak PLC üzerinden alarm oluşturur ve operatör tarafından P103b veya P-104 tag numaralı sirkülasyon pompası manuel olarak devreye alınacaktır.</t>
  </si>
  <si>
    <t xml:space="preserve">A-019</t>
  </si>
  <si>
    <t xml:space="preserve">Harici Senaryolar
Oksit Tesisi</t>
  </si>
  <si>
    <t xml:space="preserve">11, 12, 13, 14, 36, 37, 42, 64, 67</t>
  </si>
  <si>
    <t xml:space="preserve">T-201 - T-204 tag numaralı evaporatörün çıkışına SIL 2 sertifikalı XX tag numaralı basınç transmiteri eklenecektir. XX tag numaralı basınç transmiterinden yüksek basınç sinyal algılanarak safety PLC üzerinden otomatik olarak P-101a ve P-101b tag numaralı pompalara eklenecek PLd kontaktörü kapatılacaktır. Ayrıca DN50-MeOH.01-126-SS line numaralı boru hattı üzerinde mevcut olan SIL 2 sertifikalı ESDV-101 proses kontrol vanası otomatik olarak kapatılacaktır.</t>
  </si>
  <si>
    <t xml:space="preserve">A-020</t>
  </si>
  <si>
    <t xml:space="preserve">38, 39, 40, 42, 45, 46, 47, 64, 67</t>
  </si>
  <si>
    <t xml:space="preserve">T-101 - T-104 tag numaralı evaporatör üzerine proses koşullarına uygun patlama diskleri entegre edilecektir. İlgili patlama disklerinin tahliyesi, tasarım tahliye koşulları esas alınarak gerçekleştirilecek gaz dispersiyon analizi ile uygunluğu doğrulanan güvenli bir tahliye noktasına yönlendirilmeli; atmosferik tahliyenin kabul edilebilir bulunmaması halinde ise yeterli kapasiteye sahip bir scrubber sistemine bağlanmalıdır. Seçilen tahliye yönteminden bağımsız olarak, sistemin tasarım ve perform</t>
  </si>
  <si>
    <t xml:space="preserve">A-021</t>
  </si>
  <si>
    <t xml:space="preserve">15, 17, 22, 23, 24, 25, 26, 27, 28, 29, 30, 31, 32, 33, 34, 35</t>
  </si>
  <si>
    <t xml:space="preserve">R101 icindeki soğutma serpantinin tıkanması veya performansının düşmesi</t>
  </si>
  <si>
    <t xml:space="preserve">R101 icindeki soğutma serpantinin tıkanması veya performansının düşmesi ile R-101 tag numaralı reaktördeki tüpler etrafında sıcaklığın yükselmesi sonucu reaksiyon sıcaklığı artarak çıkış sıcaklığını artırır ve basınç artışı oluşturur. Metanol alev alma ve patlama riski</t>
  </si>
  <si>
    <t xml:space="preserve">R-101 tag numaralı reaktöre SIL sertifikalı XX tag numaralı sıcaklık transmiteri eklenecektir. XX tag numaralı sıcaklık transmiterinden sinyal algılanarak safety PLC üzerinden otomatik olarak P-101a ve P-101b tag numaralı pompalara eklenecek PLd kontaktörü kapatılacaktır. Ayrıca DN50-MeOH.01-126-SS line numaralı boru hattı üzerinde mevcut olan ESDV-101 tag numaralı SIL sertifikalı proses kontrol vanası otomatik olarak kapatılacaktır. Ayrıca V101, V102, V103 fanlarına PLd sertifikalı safety konta</t>
  </si>
  <si>
    <t xml:space="preserve">A-022</t>
  </si>
  <si>
    <t xml:space="preserve">13, 14, 15, 16, 20, 21, 31, 32, 33</t>
  </si>
  <si>
    <t xml:space="preserve">T-101 - T-104 tag numaralı evaporatör üzerine proses koşullarına uygun patlama diskleri entegre edilecektir. İlgili patlama disklerine ait validasyon ve verifikasyon hesapları yapılarak dokümante edilecektir.</t>
  </si>
  <si>
    <t xml:space="preserve">A-023</t>
  </si>
  <si>
    <t xml:space="preserve">22, 23, 24, 25, 26, 27, 28, 29, 30, 34, 35</t>
  </si>
  <si>
    <t xml:space="preserve">LIS-101 tag numaralı Seviye Sensörü, Trasmiteri ve İndikatörü (Genel) Hatası</t>
  </si>
  <si>
    <t xml:space="preserve">LIS-101 tag numaralı Seviye Sensörü, Trasmiteri ve İndikatörü (Genel) Hatası sebebiyle S-101 Buhar su ayırıcı (Buhar Tankı) düşük su seviyesi farkedilemez ve reaktöre yeterli soğutma suyu beslenemez, eriyik tuz sıcaklığı artar ve reaksiyon sıcaklığı yükselir, ardından metanol alev alır, ani basınç yükselmesi ve fiziksel patlama meydana gelme riski</t>
  </si>
  <si>
    <t xml:space="preserve">R-101 tag numaralı reaktörün üzerinde patlama diski mevcuttur. Patlama diskinin tahliyesi, tasarım tahliye koşulları esas alınarak gerçekleştirilecek gaz dispersiyon analizi ile uygunluğu doğrulanan güvenli bir tahliye noktasına yönlendirilmeli; atmosferik tahliyenin kabul edilebilir bulunmaması halinde ise yeterli kapasiteye sahip bir scrubber sistemine bağlanmalıdır. Seçilen tahliye yönteminden bağımsız olarak, sistemin tasarım ve performans yeterliliği validasyon ve verifikasyon çalışmaları i</t>
  </si>
  <si>
    <t xml:space="preserve">A-024</t>
  </si>
  <si>
    <t xml:space="preserve">5, 6, 7, 8</t>
  </si>
  <si>
    <t xml:space="preserve">P-101a tag numaralı pompa basarken CHV-01.011, BV-01.129 veya BV-01.127 tag numaralı manuel vananın mekaniksel olarak kapalı kalması hatası</t>
  </si>
  <si>
    <t xml:space="preserve">P-101a tag numaralı pompa basarken CHV-01.011, BV-01.129 veya BV-01.127 tag numaralı manuel vananın mekaniksel olarak kapalı kalması hatası sebebiyle DN25-MeOH.01-117-SS, DN25-MeOH.01-116-SS ve DN25-MeOH.01-115-SS line numaralı boru hattının basınçlanması sonucu boru hattından sızıntı, yangın ve patlama riski.</t>
  </si>
  <si>
    <t xml:space="preserve">P-101a ve P-101b tag numaralı pompanın üzerinde PTC motor sıcaklık sensörü konulacaktır. Kumanda devresi üzerinden pompa otomatik durdurulacaktır.</t>
  </si>
  <si>
    <t xml:space="preserve">A-025</t>
  </si>
  <si>
    <t xml:space="preserve">18, 19</t>
  </si>
  <si>
    <t xml:space="preserve">DN25-MeOH.01-117-SS, DN25-MeOH.01-116-SS ve DN25-MeOH.01-115-SS line numaralı boru hattı üzerinde bulunan CHV-01.011, BV-01.129 veya BV-01.127 tag numaralı manuel vananın mekaniksel olarak yarı kapalı konumda kalması hatası</t>
  </si>
  <si>
    <t xml:space="preserve">DN25-MeOH.01-117-SS, DN25-MeOH.01-116-SS ve DN25-MeOH.01-115-SS line numaralı boru hattı üzerinde bulunan CHV-01.011, BV-01.129 veya BV-01.127 tag numaralı manuel vananın mekaniksel olarak yarı kapalı konumda kalması hatası sebebiyle T-102 tag numaralı ısı rekuperatörüne beslenme yapılamaması ve eşanjör içerisindeki formaldehitin paraformaldehite dönüşmesi ile tüplerde yaşanan tıkanma sonucu metanol beslemesinin yapılmasıyla T-102 tag numaralı ısı rekuperatörünün basınçlanması sızıntı, yangın ve</t>
  </si>
  <si>
    <t xml:space="preserve">T-102 tag numaralı eşanjöre SIL 2 sertifikalı XX tag numaralı sıcaklık transmiteri eklenecektir. XX tag numaralı sıcaklık transmiterinden sinyal algılanarak safety PLC üzerinden otomatik olarak P-101a ve P-101b tag numaralı pompalara eklenecek PLd kontaktörü kapatılacaktır. Ayrıca V101, V102, V103 fanlarına PLd sertifikalı safety kontaktör takılarak kapatılması da sağlanmalıdır.</t>
  </si>
  <si>
    <t xml:space="preserve">A-026</t>
  </si>
  <si>
    <t xml:space="preserve">17, 18, 19</t>
  </si>
  <si>
    <t xml:space="preserve">T-102 tag numaralı ısı rekuperatörü üzerinde patlama diskleri mevcuttur. İlgili patlama disklerine ait validasyon ve verifikasyon hesapları yapılarak dokümante edilecektir.</t>
  </si>
  <si>
    <t xml:space="preserve">A-027</t>
  </si>
  <si>
    <t xml:space="preserve">P 101a tag numaralı pompanın kapatma hatası</t>
  </si>
  <si>
    <t xml:space="preserve">P 101a tag numaralı pompanın kapatma hatası sonucu MeOH.01-115-SS line numaralı boru hattında yüksek akış ile birlikte statik elektriklenme sonucu T-101 ve T-104 tag numaralı evaporatör içinde yangın ve patlama riski</t>
  </si>
  <si>
    <t xml:space="preserve">T-101 ve T-104 tag numaralı evaporatöre besleme yapan P-101a ve P-101b tag numaralı pompalarının besleme debileri IEC 60079-32-1 standartına uygun şekilde sınırlandırılacaktır. Doğrusal akış hızı hiçbir zaman 7 m/s'yi aşmamalıdır. Düşük iletkenlikli sıvıların kısa (N=1), sabit yatay eksenli tanklara 40'lık borularla yüklenmesi için hız ve dolum oranı sınırları 60079-32-1 7.3.2.3.5.3 sabit tanklar için limitlere göre hesaplanmış ve Tablo 10’da belirtilen limit değerleri aşmadığı raporlanacaktır. </t>
  </si>
  <si>
    <t xml:space="preserve">A-028</t>
  </si>
  <si>
    <t xml:space="preserve">26</t>
  </si>
  <si>
    <t xml:space="preserve">F-05 tag numaralı filtrenin tıkanması hatası
(Tankerden tanka dolum)</t>
  </si>
  <si>
    <t xml:space="preserve">F-05 tag numaralı filtrenin tıkanması hatası sonucu P-05 tag numaralı pompanın kuru çalışma hatası sonucu pompada olası yangın ve patlama</t>
  </si>
  <si>
    <t xml:space="preserve">T-303 tag numaralı tankın üzerinde mevcut olan LT-01 tag numaralı seviye treansmitterinden seviye artışı olmadığı bilgisi alınarak PLC üzerinden alarm üzerine operatör tarafından P-05 tag numaralı pompanın şalterden enerjisi kesilecektir.</t>
  </si>
  <si>
    <t xml:space="preserve">A-029</t>
  </si>
  <si>
    <t xml:space="preserve">23, 24, 25, 26</t>
  </si>
  <si>
    <t xml:space="preserve">Pano içerisinde kuru çalışma rölesi eklenerek PT-05 tag numaralı pompa kuru çalışmaya karşı korunacaktır.</t>
  </si>
  <si>
    <t xml:space="preserve">A-030</t>
  </si>
  <si>
    <t xml:space="preserve">PT-05 tag numaralı pompa üzerinde mevcutta olan sıcaklık sensörü pompanın elektrik motorunun ısınması durumunda sürücüsünden kapatılacaktır.</t>
  </si>
  <si>
    <t xml:space="preserve">A-031</t>
  </si>
  <si>
    <t xml:space="preserve">27</t>
  </si>
  <si>
    <t xml:space="preserve">Tankerden operatör hatası sonucu T-303 tag numaralı tanka yanlış kimyasal dolumu (yanlış tanka dolum yapılması) hatası</t>
  </si>
  <si>
    <t xml:space="preserve">Tankerden operatör hatası sonucu T-303 tag numaralı tanka yanlış kimyasal dolumu (yanlış tanka dolum yapılması) hatası sonucu olası R-801 tag numaralı reaktöre beslenmesi sonucu beklenmedik  reaksiyon ile yangın ve patlama</t>
  </si>
  <si>
    <t xml:space="preserve">Tanker şoförü tarafından T-303 tag numaralı tanka yanlış boşaltım yapılmaması için tank giriş sahası kartlı giriş ile kontrol altına alınacaktır.</t>
  </si>
  <si>
    <t xml:space="preserve">A-032</t>
  </si>
  <si>
    <t xml:space="preserve">T-303 tag numaralı tanka yanlış tanker boşaltımını engellemek için tank boşaltıma alanında renklendirme yapılmıştır. Tankerin yaklaştığı alandaki zemin ve boru hatları kimyasala göre renklendirimiş ve tankerin yanlış alana yanaşması engellenecektir.</t>
  </si>
  <si>
    <t xml:space="preserve">A-033</t>
  </si>
  <si>
    <t xml:space="preserve">29</t>
  </si>
  <si>
    <t xml:space="preserve">P-05 tag numaralı pompa basarken FCV-10 tag numaralı proses kontrol vanasının mekanik olarak kapalı kalması hatası</t>
  </si>
  <si>
    <t xml:space="preserve">P-05 tag numaralı pompa basarken FCV-10 tag numaralı proses kontrol vanasının mekanik olarak kapalı kalması hatası sonucu  DN80-MeOH-043-SS line numaralı hatta sızıntı ile çevreye yayılma sonucu yangın ve patlama riski veya toksik yayılım ve kimyasal maruziyet riski</t>
  </si>
  <si>
    <t xml:space="preserve">P-05 tag numaralı pompa yüksek akış sonucu termik atması sağlanacaktır. Termik set değeri ayarlanacaktır.</t>
  </si>
  <si>
    <t xml:space="preserve">A-034</t>
  </si>
  <si>
    <t xml:space="preserve">DN80-MeOH-043-SS line numaralı hatta PSV-02 tag numaralı basınç emniyeti mevcuttur. Basınç emniyet ventillerine ait validasyon ve verifikasyon belgeleri alınacaktır.</t>
  </si>
  <si>
    <t xml:space="preserve">A-035</t>
  </si>
  <si>
    <t xml:space="preserve">1, 2, 3, 30</t>
  </si>
  <si>
    <t xml:space="preserve">P-05 tag numaralı pompanın kapatma hatası
(Tankerden tanka dolum)</t>
  </si>
  <si>
    <t xml:space="preserve">P-05 tag numaralı pompanın kapatma hatası sonucu T-303 tankında seviye yükselmesine bağlı taşma ile çevreye yayılma sonucu yangın ve patlama riski veya toksik yayılım ve kimyasal maruziyet riski</t>
  </si>
  <si>
    <t xml:space="preserve">SIL seviyesindeki taşma kontrol sisteminin validasyon ve verifikasyonu yapılarak SRS dokümanı hazırlanması gerekmektedir. Ayrıca FSA-1 den FSA-5 e kadar yaşam döngüsü kurulacaktır ve proof testler yapılacaktır.</t>
  </si>
  <si>
    <t xml:space="preserve">A-036</t>
  </si>
  <si>
    <t xml:space="preserve">4, 5, 6</t>
  </si>
  <si>
    <t xml:space="preserve">DN80-MeOH-002-CS line numaralı hat üzerinde bulunan FCV-02 tag numaralı proses kontrol vanasının mekaniksel olarak kapalı kalması hatası
(Komşu Tesisten Tanka Dolum)</t>
  </si>
  <si>
    <t xml:space="preserve">TK75PMP tag numaralı pompa basarken FCV-02 tag numaralı proses kontrol vanasının mekaniksel olarak kapalı kalması hatası sonucu DN80-MeOH-002-CS line numaralı hatta sızıntı ile yangın ve patlama riski veya toksik yayılım ve kimyasal maruziyet riski</t>
  </si>
  <si>
    <t xml:space="preserve">TK75PMP tag numaralı pompadan DN80-MeOH-001-CS ve DN80-MeOH-002-CS hatların olduğu kısım dike içerisinde olup, döküntü toplanmaktadır. Tank havuzunun sızdırmazlığı ve statik yüke dayanımı ile ilgili rapor alınacaktır. Aynı zamanda toksik olan metanol buharının etrafa yayılmaması için tank havuzuna köpük basılması için aksiyon alınacaktır.</t>
  </si>
  <si>
    <t xml:space="preserve">A-037</t>
  </si>
  <si>
    <t xml:space="preserve">4, 5</t>
  </si>
  <si>
    <t xml:space="preserve">Operatör tarafından V-804 buharlaştırıcısına ait BV-8026 veya BV-8058 tag numaralı manuel dreyn vananın açık bırakılması hatası
(Tanktan V-804 tag Numaralı Buharlaştırıcıya Dolum)</t>
  </si>
  <si>
    <t xml:space="preserve">Operatör tarafından V-804 buharlaştırıcısına ait BV-8026 veya BV-8058 tag numaralı manuel dreyn vananın açık bırakılması hatası sonucu reaktörden kimyasal sızıntısı ile çevreye yayılma sonucu çevresel kirlilik riski veya yangın ve patlama riski veya toksik yayılım ve kimyasal maruziyet riski</t>
  </si>
  <si>
    <t xml:space="preserve">V-804 tag nolu buharlaştırıcıda bulunan BV-8026 ve BV-8058 tag numaralı manuel dreyn vana sonrasına deadman vana eklenecektir.</t>
  </si>
  <si>
    <t xml:space="preserve">A-038</t>
  </si>
  <si>
    <t xml:space="preserve">Metanol Tankından R-101 Reaktörüne Transfer</t>
  </si>
  <si>
    <t xml:space="preserve">2, 7</t>
  </si>
  <si>
    <t xml:space="preserve">Node 2: 11, 12, 13, 14
Node 7: 1</t>
  </si>
  <si>
    <t xml:space="preserve">P-03 tag numaralı pompa emme yaparken F-03 tag numaralı filtrenin tıkanma hatası
(Tanktan V-804 Tag Numaralı Buharlaştırıcıya Dolum)</t>
  </si>
  <si>
    <t xml:space="preserve">P-03 tag numaralı pompa emme yaparken F-03 tag numaralı filtrenin tıkanma hatası sonucu P-03 tag numaralı pompanın kuru çalışması sonucu pompada kavitasyon ve yangın riski veya ekipmanda deformasyon riski</t>
  </si>
  <si>
    <t xml:space="preserve">DN25-MeOH-028-SS veya DN25-MeOH-030-SS line numaralı hat üzerinde bulunan FT-02 tag numaralı akış transmitterinden hiç akış algılayarak DCS üzerinden sesli ve ışıklı alarm vererek operatör tarafından P-03 veya P-04 tag numaralı pompa durdurulacaktır.</t>
  </si>
  <si>
    <t xml:space="preserve">A-039</t>
  </si>
  <si>
    <t xml:space="preserve">11, 12, 13, 14</t>
  </si>
  <si>
    <t xml:space="preserve">Pano içerisinde kuru çalışma rölesi eklenerek P-03 tag numaralı pompa kuru çalışmaya karşı korunacaktır.</t>
  </si>
  <si>
    <t xml:space="preserve">A-040</t>
  </si>
  <si>
    <t xml:space="preserve">P-03 tag numaralı pompa üzerinde mevcutta olan sıcaklık sensörü pompa motorunun ısınması durumunda sürücüsünden kapatılacaktır.</t>
  </si>
  <si>
    <t xml:space="preserve">A-041</t>
  </si>
  <si>
    <t xml:space="preserve">1, 2, 3, 4</t>
  </si>
  <si>
    <t xml:space="preserve">P-101a tag numaralı pompa emme yaparken BV-01.135 tag numaralı manuel vananın operatör tarafından kapalı bırakılması hatası</t>
  </si>
  <si>
    <t xml:space="preserve">P-101a tag numaralı pompa emme yaparken BV-01.135 tag numaralı manuel vananın operatör tarafından kapalı bırakılması hatası sonucu P-101a tag numaralı tag numaralı pompanın kuru çalışması sonucu pompada kavitasyon ve yangın riski veya ekipmanda deformasyon riski</t>
  </si>
  <si>
    <t xml:space="preserve">P-101a ve P-101b tag numaralı pompanın üzerinde PTC motor sıcaklık sensörü konulacaktır. Kumanda devresi üzerinden pompa otomatik durduracaktır.</t>
  </si>
  <si>
    <t xml:space="preserve">A-042</t>
  </si>
  <si>
    <t xml:space="preserve">P-101a ve P-101b tag numaralı pompanın kuru çalışma koruma rölesi konulacaktır. Elektromekanik cihaz, sistemdeki basıncın varlığını kontrol eder. Basınç eşiğin altına düşer düşmez güç devresi kesilir, pompa çalışmayı durdurur.</t>
  </si>
  <si>
    <t xml:space="preserve">A-043</t>
  </si>
  <si>
    <t xml:space="preserve">24, 25, 40, 41</t>
  </si>
  <si>
    <t xml:space="preserve">P-03 tag numaralı pompa basarken BV-8008, BV-8009, BV-8011 veya BV-8012 tag numaralı manuel vananın operatör tarafından kapalı bırakılması hatası
(Tanktan V-804 tag Numaralı Buharlaştırıcıya Dolum)</t>
  </si>
  <si>
    <t xml:space="preserve">P-03 tag numaralı pompa basarken BV-8008, BV-8009, BV-8011 veya BV-8012 tag numaralı manuel vananın operatör tarafından kapalı bırakılması hatası nedeniyle V-804 tag numaralı metanol buharlaştırıcısının metanol, hava ve oksijen molar oranı değişmesi ile metanol buharlaştırıcısı içerisinde oluşan karışımın patlayıcı ortam limitleriyle tutuşma sonucu yangın ve patlama riski veya toksik yayılım ve kimyasal maruziyet riski</t>
  </si>
  <si>
    <t xml:space="preserve">V-804 tag numaralı metanol buharlaştırıcısının üzerinde bulunan LS-809 tag numaralı SIL 2 sertifikalı seviye çatal tipli seviye sivicinden buharlaştırıcının içerisinde yüksek seviye olmasını algılaması sonucu LSHH alarmı üzerinde safety PLC üzerinden ESD-03 ve ESDV-801 ve ESDV-802 ve ESDV-803 tag numaralı SIL sertifikalı proses kontrol vanaları kapatılmaktadır. P-03 ve P-04 pompalarını Ple veya PLd sertifikalı safety kontaktör takılarak enerjisi kesilecektir.</t>
  </si>
  <si>
    <t xml:space="preserve">A-044</t>
  </si>
  <si>
    <t xml:space="preserve">24, 25</t>
  </si>
  <si>
    <t xml:space="preserve">BV-8008 ve BV-8009 ve BV-8010 ve BV-8011 ve BV-8012 ve BV-8013 tag numaralı manuel vanalara EKED/LOTO prosedürü uygulanacaktır.</t>
  </si>
  <si>
    <t xml:space="preserve">A-045</t>
  </si>
  <si>
    <t xml:space="preserve">15, 16, 17, 18, 28, 29, 30, 32, 33</t>
  </si>
  <si>
    <t xml:space="preserve">PT-817 tag numaralı basınç transmiteri hatası
(Tanktan V-804 Tag Numaralı Buharlaştırıcıya Dolum)</t>
  </si>
  <si>
    <t xml:space="preserve">PT-817 tag numaralı basınç transmiteri hatası nedeniyle V-804 tag numaralı metanol buharlaştırıcısında metanol su buharı sebebiyle basınç artışına bağlı olarak yangın ve patlama riski veya toksik yayılım ve kimyasal maruziyet riski</t>
  </si>
  <si>
    <t xml:space="preserve">R-801 tag numaralı reaktör üzerinde bulunan PT-824 tag numaralı SIL 2 sertifikalı basınç transmitteri reaktör içerisinde yüksek basınç olmasını algılaması sonucu PIC-814 alarmı üzerinde safety PLC üzerinden ESD-03 ve ESDV-801 ve ESDV-802 ve ESDV-803 tag numaralı SIL sertifikalı proses kontrol vanaları kapatılmaktadır. Validasyon ve verifikasyon alınacaktır.</t>
  </si>
  <si>
    <t xml:space="preserve">A-046</t>
  </si>
  <si>
    <t xml:space="preserve">2, 3, 4, 5</t>
  </si>
  <si>
    <t xml:space="preserve">Node 2: 15, 16, 17, 18, 19, 20, 21, 22, 23, 27, 28, 29, 30, 31, 32, 33, 34, 35, 36, 37, 38, 39, 40, 41
Node 3: 6, 7, 8, 9, 12, 14, 16, 17
Node 4: 18
Node 5: 1, 2, 3, 4</t>
  </si>
  <si>
    <t xml:space="preserve">R-801 tag numaralı reaktörde bulunan RD-801 tag numaralı patlama diskinin tahliyesi, tasarım tahliye koşulları esas alınarak gerçekleştirilecek gaz dispersiyon analizi ile uygunluğu doğrulanan güvenli bir tahliye noktasına yönlendirilmeli; atmosferik tahliyenin kabul edilebilir bulunmaması halinde ise yeterli kapasiteye sahip bir scrubber sistemine bağlanmalıdır. Seçilen tahliye yönteminden bağımsız olarak, sistemin tasarım ve performans yeterliliği validasyon ve verifikasyon çalışmaları ile doğ</t>
  </si>
  <si>
    <t xml:space="preserve">A-047</t>
  </si>
  <si>
    <t xml:space="preserve">15, 18, 21, 23, 26, 27, 35</t>
  </si>
  <si>
    <t xml:space="preserve">PT-817 tag numaralı basınç transmitteri hatası
(Tanktan V-804 Tag Numaralı Buharlaştırıcıya Dolum)</t>
  </si>
  <si>
    <t xml:space="preserve">PT-817 tag numaralı basınç transmitteri hatası sonucu V-804 tag numaralı metanol buharlaştırıcısında oluşan yüksek basıncın ters akış oluşturması sebebiyle B-802 tag numaralı blowera kimyasal buharının karışması riski sebebiyle hava beslemesinin durması sebebiyle V-804 tag numaralı buharlaştırıcıda taşma sonucu yangın, patlama veya toksik yayılım ve kimyasal maruziyet riski</t>
  </si>
  <si>
    <t xml:space="preserve">V-804 tag numaralı metanol buharlaştırıcısının üzerinde bulunan LS-809 tag numaralı SIL 2 sertifikalı seviye çatal tipli seviye sivicinden buharlaştırıcının içerisinde yüksek seviye olmasını algılaması sonucu LSHH alarmı üzerinde safety PLC üzerinden ESDV-801 ve ESDV-802 ve ESDV-803 tag numaralı SIL sertifikalı proses kontrol vanaları kapatılmaktadır. Validasyon ve verifikasyon alınacaktır.</t>
  </si>
  <si>
    <t xml:space="preserve">A-048</t>
  </si>
  <si>
    <t xml:space="preserve">36, 37, 38, 39</t>
  </si>
  <si>
    <t xml:space="preserve">BFV-814, BFV-815 veya BFV-816 tag numaralı manuel vananın operatör tarafından kapalı bırakılması hatası
(Tanktan V-804 Tag Numaralı Buharlaştırıcıya Dolum)</t>
  </si>
  <si>
    <t xml:space="preserve">BFV-814, BFV-815 veya BFV-816 tag numaralı manuel vananın operatör tarafından kapalı bırakılması hatası nedeniyle DN200-MeOH.08-003-SS line numaralı hatta sızıntı ile çevreye yayılma sonucu çevresel kirlilik riski veya yangın ve patlama riski veya toksik yayılım ve kimyasal maruziyet riski</t>
  </si>
  <si>
    <t xml:space="preserve">P-802 ve P-803 tag numaralı pompa üzerinde mevcutta olan sıcaklık sensörü pompanın ısınması durumunda sürücüsünden kapatılacaktır.</t>
  </si>
  <si>
    <t xml:space="preserve">A-049</t>
  </si>
  <si>
    <t xml:space="preserve">TANKIN SICAKLIK SENSÖRÜ ÇALIŞILACAK</t>
  </si>
  <si>
    <t xml:space="preserve">33</t>
  </si>
  <si>
    <t xml:space="preserve">PT-03 tag numaralı basınç transmitteri hatası</t>
  </si>
  <si>
    <t xml:space="preserve">PT-03 tag numaralı basınç transmitteri hatası ile T-303 tag numaralı metanol tankı içerisinde yüksek basınç sonucu kimyasalın çevreye yayılma sonucu yangın ve patlama riski veya toksik yayılım ve kimyasal maruziyet riski</t>
  </si>
  <si>
    <t xml:space="preserve">T-303 tag numaralı metanol tankı üzerinde bulunan PT-04 tag numaralı basınç transmitterinin azot yastıklama operasyonu sonucu fazla basıncı algılaması üzerine PLC üzerinden otomatik olarak FCV-03 tag numaralı proses kontrol vanası kapatılacaktır.</t>
  </si>
  <si>
    <t xml:space="preserve">A-050</t>
  </si>
  <si>
    <t xml:space="preserve">T-303 tag numaralı metanol tankında basıncın artması durumunda PV-01 ve PV-02 tag numaralı basınç emniyet ventilleri mevcuttur. PV tahliye hatları, tasarım tahliye koşulları esas alınarak gerçekleştirilecek gaz dispersiyon analizi ile uygunluğu doğrulanmış güvenli tahliye noktasına yönlendirilmeli veya atmosferik tahliyenin kabul edilebilir olmadığı durumlarda ise yeterli kapasitedeki scrubber sistemine bağlanmalıdır. Emniyet ventillerinin validasyon ve verifikasyonu yapılacaktır.</t>
  </si>
  <si>
    <t xml:space="preserve">A-051</t>
  </si>
  <si>
    <t xml:space="preserve">32, 33</t>
  </si>
  <si>
    <t xml:space="preserve">T-303 tankına ait patlama diski mevcuttur. Patlama kapakları için validasyon ve verifikasyon belgeleri alınacaktır.</t>
  </si>
  <si>
    <t xml:space="preserve">A-052</t>
  </si>
  <si>
    <t xml:space="preserve">31, 32</t>
  </si>
  <si>
    <t xml:space="preserve">Hava şartları nedeniyle T-303 tag numaralı tankında sıcaklık artışı hatası</t>
  </si>
  <si>
    <t xml:space="preserve">Hava şartları nedeniyle T-303 tag numaralı tankında sıcaklık artışı hatası ile çevreye yayılma sonucu yangın ve patlama riski veya toksik yayılım ve kimyasal maruziyet riski</t>
  </si>
  <si>
    <t xml:space="preserve">T-303 tag numaralı metanol tankında sıcaklık artışı sonucu basıncında artması durumunda PV-01 ve PV-02 tag numaralı basınç emniyet ventilleri mevcuttur. PV tahliye hatları, tasarım tahliye koşulları esas alınarak gerçekleştirilecek gaz dispersiyon analizi ile uygunluğu doğrulanmış güvenli tahliye noktasına yönlendirilmeli veya atmosferik tahliyenin kabul edilebilir olmadığı durumlarda ise yeterli kapasitedeki scrubber sistemine bağlanmalıdır. Emniyet ventillerinin validasyon ve verifikasyonu yap</t>
  </si>
  <si>
    <t xml:space="preserve">A-053</t>
  </si>
  <si>
    <t xml:space="preserve">34</t>
  </si>
  <si>
    <t xml:space="preserve">FCV-026 tag numaralı proses kontrol vanasının kapalı kalma hatası</t>
  </si>
  <si>
    <t xml:space="preserve">DN50-MeOH-044-SS gaz geri dönüş hattında bulunan FCV-026 tag numaralı proses kontrol vanasının kapalı kalma hatası ile tankerin vakuma girmesi sonucu çevreye yayılma sonucu yangın ve patlama riski veya toksik yayılım ve kimyasal maruziyet riski</t>
  </si>
  <si>
    <t xml:space="preserve">DN50-MeOH-044-SS tag numaralı line üzerinde bulunan FCV-26 tag numaralı proses kontrol vanasının pozisyoneri PLC üzerinden açık bilgisi gelmeden P-05 tag numaralı pompa tankerden tanka operasyonu başlatılmayacaktır. (2.1. IPL)</t>
  </si>
  <si>
    <t xml:space="preserve">A-054</t>
  </si>
  <si>
    <t xml:space="preserve">P-05 tag numaralı pompanın emiş debisi 25 m3/h e düşürülerek tanka dolum süresi arttırılacak ve operatöre müdahale süresi olan en az 20 dakika sağlanarak PT-012 tag numaralı basınç transmittterinin PLC üzerinden pompayı otomatik olarak sürücüsünden kapatılmama durumunda operatör tarafından kapatılacaktır.</t>
  </si>
  <si>
    <t xml:space="preserve">A-055</t>
  </si>
  <si>
    <t xml:space="preserve">PT-012 tag numaralı basınç transmitteri P&amp;ID üzerinde gözükmemektedir ancak otomasyonda mevcuttur ve alarm ürettiği beyan edilmiştir. (P&amp;ID revize edilecektir)</t>
  </si>
  <si>
    <t xml:space="preserve">A-056</t>
  </si>
  <si>
    <t xml:space="preserve">ADR kapsamında vakum kırıcı olmayan tanker kabul edilmeyecektir. Tesise kabul edilmeden önce vakum kırıcıya ait validasyon ve verifikasyon talep edilerek raporu olmayan ADR tankeri tesisie kabul edilmeyeceği şekilde prosedür düzenlenecektir.</t>
  </si>
  <si>
    <t xml:space="preserve">A-057</t>
  </si>
  <si>
    <t xml:space="preserve">P-03 tag numaralı pompa kapatma hatası vererek çalışmaya devam etmesi üzerine hatta yüksek akış sebebiyle statik elektriklenme hatası
(Tanktan V-804 Tag Numaralı Buharlaştırıcıya Dolum)</t>
  </si>
  <si>
    <t xml:space="preserve">P-03 tag numaralı pompa kapatma hatası vererek çalışmaya devam etmesi üzerine hatta yüksek akış sebebiyle statik elektriklenme hatası sonucu V-804 tag numaralı buharlaştırıcı içinde yangın ve patlama riski</t>
  </si>
  <si>
    <t xml:space="preserve">V-804 tag numaralı buharlaştırıcıya oksijen, metanol ve su oranını ayarlamak üzere interlok mevcuttur ancak oksijen, metanol ve su buharı için set değeri analiz edilerek sınırlandırılmalıdır. FT-804 tag numaralı akış transmiterinden ve PT-818 tag numaralı basınç transmitterinden yüksek akış sinyali alınıp PLC üzerinden otomatik olarak B-802 tag numaralı blower hızı azaltılmakta veya enerjisi kesilerek durdurulacaktır. (2.1. IPL)</t>
  </si>
  <si>
    <t xml:space="preserve">A-058</t>
  </si>
  <si>
    <t xml:space="preserve">LS-804 tag numaralı seviye sivici hatası
(Tanktan V-804 tag Numaralı Buharlaştırıcıya Dolum)</t>
  </si>
  <si>
    <t xml:space="preserve">LS-804 tag numaralı seviye sivici hatası sonucu V-804 tag numaralı buharlaştırıcının seviyesinin düşük iken yüksek göstermesi hatası ve boş buharlaştırıcıda seviye düşük iken besleme yapılması sırasında statik elektriklenme oluşması ile yangın ve patlama riski</t>
  </si>
  <si>
    <t xml:space="preserve">Suyun otomatik çalışmaması durumunda V-804 buharlaştırıcı üzerinde bulunan LT-802 tag numaralı seviye sivici PLC üzerinden düşük seviye algılaması üzerine su pompası operatör müdahalesi ile başlatılmaktadır. Start-up aşamasında LT-802 tag numaralı seviye sivicinden alarm üzerine P-805 A ve B pompaları çalıştırılamayacak şekilde interlok ataması sağlanacaktır.</t>
  </si>
  <si>
    <t xml:space="preserve">A-059</t>
  </si>
  <si>
    <t xml:space="preserve">37</t>
  </si>
  <si>
    <t xml:space="preserve">DN25-PPG-005-CS line numaralı hat üzerinde bulunan FCV-03 tag numaralı proses kontrol vanasının kapalı kalma hatası</t>
  </si>
  <si>
    <t xml:space="preserve">DN25-PPG-005-CS line numaralı hat üzerinde bulunan FCV-03 tag numaralı proses kontrol vanasının kapalı kalma hatası sonucu tankta azot yastıklaması olmaması sebebiyle kimyasalın oksijenle buluşması sonucu T-303 tag numaralı tankta yangın ve patlama riski</t>
  </si>
  <si>
    <t xml:space="preserve">DN25-PPG-005-CS line numaralı hat üzerinde bulunan FT-01 tag numaralı akış transmitterinden hiç akış algılaması üzerine PLC üzerinden sesli ve ışıklı alarm vererek azot regülatörü öncesine kurulacak olan bypass hattında konumlandırılacak olan manuel vanaların operatör tarafından açılması sağlanacaktır.</t>
  </si>
  <si>
    <t xml:space="preserve">A-060</t>
  </si>
  <si>
    <t xml:space="preserve">13, 35, 36, 37</t>
  </si>
  <si>
    <t xml:space="preserve">T-303 tag numaralı tankında patlama diski mevcuttur Validasyon ve verifikasyon yapılacaktır.</t>
  </si>
  <si>
    <t xml:space="preserve">A-061</t>
  </si>
  <si>
    <t xml:space="preserve">35, 36, 37</t>
  </si>
  <si>
    <t xml:space="preserve">PV-01 ve PV-02 tag numaralı emniyet ventili mevcuttur. Basınç yükselmesi durumunda hat açılıp basınç düşürülecektir. PV tahliye hatları, tasarım tahliye koşulları esas alınarak gerçekleştirilecek gaz dispersiyon analizi ile uygunluğu doğrulanmış güvenli tahliye noktasına yönlendirilmeli veya atmosferik tahliyenin kabul edilebilir olmadığı durumlarda ise yeterli kapasitedeki scrubber sistemine bağlanmalıdır. Emniyet ventillerinin validasyon ve verifikasyonu yapılacaktır.</t>
  </si>
  <si>
    <t xml:space="preserve">A-062</t>
  </si>
  <si>
    <t xml:space="preserve">35, 36</t>
  </si>
  <si>
    <t xml:space="preserve">DN25-PPG-005-CS line numaralı hat üzerinde bulunan BV-04 tag numaralı manuel vananın operatör tarafından kapalı kalma hatası</t>
  </si>
  <si>
    <t xml:space="preserve">DN25-PPG-005-CS line numaraı hat üzerinde bulunan BV-04 tag numaralı manuel vananın kapalı kalma hatası sonucu tankta azot yastıklaması olmaması sebebiyle kimyasalın oksijenle buluşması sonucu T-303 tag numaralı tankta yangın ve patlama riski</t>
  </si>
  <si>
    <t xml:space="preserve">DN25-PPG-005-CS line numaralı hat üzerinde bulunan FT-01 tag numaralı akış transmitteri hat üzerinde hiç akış algılaması üzerine PLC üzerinden sesli ve ışıklı alarm vererek operatör tarafından manuel vana açılacaktır.</t>
  </si>
  <si>
    <t xml:space="preserve">A-063</t>
  </si>
  <si>
    <t xml:space="preserve">20, 21, 22, 34</t>
  </si>
  <si>
    <t xml:space="preserve">B-802 tag numaralı blower hatası
(Tanktan V-804 Tag Numaralı Buharlaştırıcıya Dolum)</t>
  </si>
  <si>
    <t xml:space="preserve">B-802 tag numaralı blower hatası sonucu V-804 tag numaralı metanol buharlaştırıcısına hava beslenmemesi ile oksijen molar oranı oluşmaması sebebiyle metanol buharlaştırıcıda metanol su beslenmeye devam ederek taşma sonucu yangın ve patlama riski veya toksik yayılım ve kimyasal maruziyet riski</t>
  </si>
  <si>
    <t xml:space="preserve">DN250-A.08-027-SS line numaralı hat üzerine kurulacak olan SIL sertifikalı oksijen analizörü ile hat içerisinde yüksek basınç olmasını algılaması sonucu alarm üzerine safety PLC üzerinden XXX tag numaralı ESD vanası kapatılarak oksijen girişi engellenecektir. Validasyon ve verifikasyon alınacaktır.</t>
  </si>
  <si>
    <t xml:space="preserve">A-064</t>
  </si>
  <si>
    <t xml:space="preserve">LS-801 tag numaralı seviye sivici hatası
(Tanktan V-804 Tag Numaralı Buharlaştırıcıya Dolum)</t>
  </si>
  <si>
    <t xml:space="preserve">LS-801 tag numaralı seviye sivici hatası hatası sonucu B-802 tag numaralı blowera su kaçması sonucu hava beslemesinin durması sebebiyle V-804 tag numaralı buharlaştırıcıda taşma sonucu yangın, patlama veya toksik yayılım ve kimyasal maruziyet riski</t>
  </si>
  <si>
    <t xml:space="preserve">V-805 tag numaralı su tankı üzerinde mevcut olan LS-811 tag numaralı seviye sivicinden yüksek seviye algılayarak PLC üzerinden otomatik olarak B-802 tag numaralı blower durdurulacaktır. (2.1. IPL)</t>
  </si>
  <si>
    <t xml:space="preserve">A-065</t>
  </si>
  <si>
    <t xml:space="preserve">FT-802 tag numaralı akış transmiteri hatası
(Tanktan V-804 Tag Numaralı Buharlaştırıcıya Dolum)</t>
  </si>
  <si>
    <t xml:space="preserve">FT-802 tag numaralı akış transmiteri hatası sonucu V-804 tag numaralı metanol buharlaştırıcısına fazla hava beslemesi ile oksijen molar oranı değişmesi sebebiyle yangın ve patlama riski veya toksik yayılım ve kimyasal maruziyet riski</t>
  </si>
  <si>
    <t xml:space="preserve">V-804 tag numaralı metanol buharlaştırıcı üzerine kurulacak olan SIL sertifikalı oksijen analizörü ile V-804 tag numaralı metanol buharlaştırıcı içerisinde yüksek basınç olmasını algılaması sonucu alarm üzerine safety PLC üzerinden XXX tag numaralı ESD vanası kapatılarak oksijen girişi engellenecektir. Validasyon ve verifikasyon alınacaktır.</t>
  </si>
  <si>
    <t xml:space="preserve">A-066</t>
  </si>
  <si>
    <t xml:space="preserve">BV-016 tag numaralı manuel vananın mekaniksel olarak açık kalması hatası
(Tankerden tanka dolum)</t>
  </si>
  <si>
    <t xml:space="preserve">BV-016 tag numaralı manuel vananın mekaniksel olarak açık kalması hatası ile T-303 tankında seviye yükselmesine bağlı taşma ile  yangın ve patlama riski veya toksik yayılım ve kimyasal maruziyet riski</t>
  </si>
  <si>
    <t xml:space="preserve">T-303 tag numaralı tankın üzerinde mevcut olan LS-01 tag numaralı seviye sivicinden tank içerisinde seviyenin yüksek olduğunu algılaması sonucu
FCV-07, FCV-08, FCV-10 proses kontrol vanaları PLC üzerinden otomatik olarak P-05 tag numaralı pompa driverdan durdurulacaktır.</t>
  </si>
  <si>
    <t xml:space="preserve">A-067</t>
  </si>
  <si>
    <t xml:space="preserve">1, 2, 3, 5</t>
  </si>
  <si>
    <t xml:space="preserve">F-807  tag numaralı filtrenin tıkanması hatası
(V-804 Buharlaştırıcıdan R-801 Reaktöre Dolum)</t>
  </si>
  <si>
    <t xml:space="preserve">F-807  tag numaralı filtrenin tıkanması hatası  sonucu V-809 tag numaralı absorbsiyon kolonuna fazla %70 metanol ve %30 su beslenmesi sonucu atmosfere metanol gazının çıkışı olası kimyasal maruziyet</t>
  </si>
  <si>
    <t xml:space="preserve">V-804 tag numaralı metanol buharlaştırıcı üzerine kurulacak olan XXX tag numaralı basınç transmitteri üzerinden yüksek basınç algılaması sonucu alarm üzerine safety PLC üzerinden SIL sertifikalı ESD-03 ve ESD-802, ESD-803 tag numaralı proses kontrol vanaları kapatılacaktır. Validasyon ve verifikasyon alınacaktır.</t>
  </si>
  <si>
    <t xml:space="preserve">A-068</t>
  </si>
  <si>
    <t xml:space="preserve">3, 5</t>
  </si>
  <si>
    <t xml:space="preserve">M-801 tag numaralı atık gaz karıştırıcısı ve kontrol vanasının kolları sökülerek körlenecektir.
Atık gaz hattı körlü olup kullanım dışı olduğu beyan edilmiştir.</t>
  </si>
  <si>
    <t xml:space="preserve">A-069</t>
  </si>
  <si>
    <t xml:space="preserve">10, 11, 12, 13, 15</t>
  </si>
  <si>
    <t xml:space="preserve">GBV-853 tag numaralı manuel vananın mekaniksel olarak açık kalması hatası
(V-804 Buharlaştırıcıdan R-801 Reaktöre Dolum)</t>
  </si>
  <si>
    <t xml:space="preserve">GBV-853 tag numaralı manuel vananın mekaniksel olarak açık kalması hatası sonucu E-804 tag numaralı eşanjörde su azalmasına bağlı R-801 tag numaralı reaktöründe sıcaklık artışıyla birlikte basınçlanma sonucu yangın ve patlama riski</t>
  </si>
  <si>
    <t xml:space="preserve">V-801 tag numaralı buhar dramı üzerinde bulunan PT-806 tag numaralı SIL2 sertifikalı basınç transmitteri buhar dramı içerisinde yüksek basınç olmasını algılaması sonucu alarm üzerinde safety PLC üzerinden tesise ait tüm SIL sertifikalı proses kontrol vanası kapatılarak tesisi shut downa götürmektedir. Ancak validasyon ve verifikasyon yapılacaktır.</t>
  </si>
  <si>
    <t xml:space="preserve">A-070</t>
  </si>
  <si>
    <t xml:space="preserve">BV-8041 tag numaralı dreyn vananın açık kalması hatası
(R-801 Reaktörden V-809 Absorbsiyonuna Dolum)
BU DREYN VANA KÖRLENECEĞİNDEN ÇALIŞILMAMIŞTIR.</t>
  </si>
  <si>
    <t xml:space="preserve">BV-8041 tag numaralı dreyn vananın kapalı pozisyona getirilip EKED/LOTO ile kilitlenmeden operasyon başlatılmayacaktır. (4. IPL)
BV-8041 tag numaralı dreyn vana körlenip kullanım dışı hale getirilecektir. (4. IPL)</t>
  </si>
  <si>
    <t xml:space="preserve">BV-8041 tag numaralı dreyn vananın kapalı pozisyona getirilip EKED/LOTO ile kilitlenmeden operasyon başlatılmayacaktır.</t>
  </si>
  <si>
    <t xml:space="preserve">A-071</t>
  </si>
  <si>
    <t xml:space="preserve">BV-8041 tag numaralı dreyn vana körlenip kullanım dışı hale getirilecektir.</t>
  </si>
  <si>
    <t xml:space="preserve">A-072</t>
  </si>
  <si>
    <t xml:space="preserve">E-802 tag numaralı eşanjörün ısı değiştirici hatası
(V-804 Buharlaştırıcıdan R-801 Reaktöre Dolum)</t>
  </si>
  <si>
    <t xml:space="preserve">E-802 tag numaralı eşanjörün ısı değiştirici hatası nedeni ile R-801 tag numaralı reaktör içerisinde ısıl sürüklenme (thermal runaway) sıcaklığın ve basıncın yükselmesi sonucu yangın ve patlama riski</t>
  </si>
  <si>
    <t xml:space="preserve">R-801 tag numaralı reaktör üzerinde bulunan PT-824 tag numaralı SIL 2 sertifikalı basınç sivicinden algılayıp safety PLC üzerinden yüksek basınç alarmı üzerine ESD-03 ve ESD-802, ESD-803 tag numaralı proses kontrol vanaları kapatılacaktır. Validasyon ve verifikasyon alınacaktır.</t>
  </si>
  <si>
    <t xml:space="preserve">A-073</t>
  </si>
  <si>
    <t xml:space="preserve">N2PRV-001 tag numaralı azot regülatörü hatası</t>
  </si>
  <si>
    <t xml:space="preserve">N2PRV-001 tag numaralı azot regülatörü hatası sonucu tankta azot basıncının artması hatası sonucu  T-303 tag numaralı tankta bütünlük kaybı neticesinde sızıntı ile yangın ve patlama riski veya toksik yayılım ve kimyasal maruziyet riski</t>
  </si>
  <si>
    <t xml:space="preserve">PV-01 ve PV-02 tag numaralı emniyet ventili mevcuttur. PV tahliye hatları, tasarım tahliye koşulları esas alınarak gerçekleştirilecek gaz dispersiyon analizi ile uygunluğu doğrulanmış güvenli tahliye noktasına yönlendirilmeli veya atmosferik tahliyenin kabul edilebilir olmadığı durumlarda ise yeterli kapasitedeki scrubber sistemine bağlanmalıdır. Emniyet ventillerinin validasyon ve verifikasyonu yapılacaktır.</t>
  </si>
  <si>
    <t xml:space="preserve">A-074</t>
  </si>
  <si>
    <t xml:space="preserve">32</t>
  </si>
  <si>
    <t xml:space="preserve">TT-02 tag numaralı sıcaklık transmitteri hatası</t>
  </si>
  <si>
    <t xml:space="preserve">TT-02 tag numaralı sıcaklık transmitteri hatası ile T-303 tag numaralı metanol tankından yüksek sıcaklığa bağlı yangın ve patlama riski veya toksik yayılım ve kimyasal maruziyet riski</t>
  </si>
  <si>
    <t xml:space="preserve">T-3033 tag numaralı metanol tankı üzerinde bulunan PT-03 tag numaralı basınç transmitterinin PLC üzerinden alarm üretmesi sonucu operatör müdahalesi ile yanal duşlamalar açılacaktır.</t>
  </si>
  <si>
    <t xml:space="preserve">A-075</t>
  </si>
  <si>
    <t xml:space="preserve">LT-802 tag numaralı seviye transmiteri hatası
(Tanktan V-804 tag Numaralı Buharlaştırıcıya Dolum)</t>
  </si>
  <si>
    <t xml:space="preserve">LT-802 tag numaralı seviye transmiteri hatası sonucu V-804 tag numaralı buharlaştırıcının seviyesinin düşük iken yüksek göstermesi hatası ve boş buharlaştırıcıda seviye düşük iken besleme yapılması sırasında statik elektriklenme oluşması ile yangın ve patlama riski</t>
  </si>
  <si>
    <t xml:space="preserve">Suyun otomatik çalışmaması durumunda V-804 buharlaştırıcı üzerinde bulunan LSL-802 tag numaralı seviye sivici PLC üzerinden düşük seviye algılaması üzerine su pompası operatör müdahalesi ile başlatılmaktadır. Start-up aşamasında LSL-802 tag numaralı seviye sivicinden alarm üzerine P-805 A ve B pompaları çalıştırılamayacak şekilde interlok ataması sağlanacaktır.</t>
  </si>
  <si>
    <t xml:space="preserve">A-076</t>
  </si>
  <si>
    <t xml:space="preserve">6, 7</t>
  </si>
  <si>
    <t xml:space="preserve">P-03 tag numaralı pompa basarken BV-8008, BV-8009, BV-8011 veya BV-8012 tag numaralı manuel vananın mekaniksel olarak kapalı kalması hatası
(Tanktan V-804 Tag Numaralı Buharlaştırıcıya Dolum)</t>
  </si>
  <si>
    <t xml:space="preserve">P-03 tag numaralı pompa basarken BV-8008, BV-8009, BV-8011 veya BV-8012 tag numaralı manuel vananın mekaniksel olarak kapalı kalması hatası sonucu DN25-MeOH-032-SS line numaralı hatta sızıntı ile çevreye yayılma sonucu çevresel kirlilik riski veya yangın ve patlama riski veya toksik yayılım ve kimyasal maruziyet riski</t>
  </si>
  <si>
    <t xml:space="preserve">DN25-MeOH-032-SS line numaralı hat üzerinde bulunan FT-02 tag numaralı akış transmitterinden fazla basıncı algılayarak DCS üzerinden sesli ve ışıklı alarm vererek operatör tarafından BV-010 ve BV-013 tag numaralı manuel vanaların açılması ile bulunduğu bypass hatları devreye alınacaktır.</t>
  </si>
  <si>
    <t xml:space="preserve">A-077</t>
  </si>
  <si>
    <t xml:space="preserve">6, 7, 8, 9</t>
  </si>
  <si>
    <t xml:space="preserve">P-03 ve P-04 tag numaralı pompanın basma hattından T-303 tag numaralı metanol tankına doğru bypass boru hattı ile PSV-03 ve PSV-04 tag numaralı basınç emniyet ventili mevcuttur, basınçlanma olması durumunda basınç emniyet ventili açarak kimyasalın devri daim yapması sağlanır. Emniyet ventilleri birbirinin yedeği olacak şekildedir. Validasyon ve verifikasyonu yapılacaktır</t>
  </si>
  <si>
    <t xml:space="preserve">A-078</t>
  </si>
  <si>
    <t xml:space="preserve">P-03 tag numaralı pompa basarken FCV-017, FCV-018 veya LCV-803 tag numaralı proses kontrol vanasının kapalı kalması hatası
(Tanktan V-804 Tag Numaralı Buharlaştırıcıya Dolum)</t>
  </si>
  <si>
    <t xml:space="preserve">P-03 tag numaralı pompa basarken FCV-017, FCV-018 veya LCV-803 tag numaralı proses kontrol vanasının kapalı kalması hatası sonucu DN25-MeOH-032-SS line numaralı hatta sızıntı ile çevreye yayılma sonucu çevresel kirlilik riski veya yangın ve patlama riski veya toksik yayılım ve kimyasal maruziyet riski</t>
  </si>
  <si>
    <t xml:space="preserve">P-03 ve P-04 tag numaralı pompa üzerinde mevcutta olan sıcaklık sensörü pompa motorunun ısınması durumunda sürücüsünden kapatılacaktır.</t>
  </si>
  <si>
    <t xml:space="preserve">A-079</t>
  </si>
  <si>
    <t xml:space="preserve">BFV-807 tag numaralı manuel vananın mekaniksel olarak kapalı kalması hatası
(V-804 Buharlaştırıcıdan R-801 Reaktöre Dolum)</t>
  </si>
  <si>
    <t xml:space="preserve">BFV-807 tag numaralı manuel vananın mekaniksel olarak kapalı kalması hatası sonucu V-804 tag numaralı buharlaştırıcıda basınç artışı sonucu yangın ve patlama riski.</t>
  </si>
  <si>
    <t xml:space="preserve">BFV - 807 tag numaralı manuel vanaya EKED/LOTO prosedürü uygulanacaktır.</t>
  </si>
  <si>
    <t xml:space="preserve">A-080</t>
  </si>
  <si>
    <t xml:space="preserve">1, 2, 25, 26, 27, 28, 29, 30, 33</t>
  </si>
  <si>
    <t xml:space="preserve">DN500-PPG.08-063-SS line numaralı hat üzerinde bulunan TT-807 tag numaralı sıcaklık transmitteri hatası
(E-804 Eşanjörden V-809 Absorbsiyon Kolununa giden hat)</t>
  </si>
  <si>
    <t xml:space="preserve">DN500-PPG.08-063-SS line numaralı hat üzerinde bulunan TT-807 tag numaralı sıcaklık transmitteri hatası sonucu E-804 Eşanjörden V-809 Absorbsiyon Kolununa giden DN500-PPG.08-063-SS line numaralı hatta sıcaklığın kontrol edilememesi ile sıcaklık artışı sonucu V-809 Absorbsiyon kolonunda basıncın artışı nedeniyle fiziksel bütünlük kaybı olması ve emisyonun artması ile toksik kimyasal yayılım riski</t>
  </si>
  <si>
    <t xml:space="preserve">V-809 Absorbsiyon Kolunu üzerinde bulunan PT-804 tag numaralı basınç transmitteri basıncın artmasını algılayıp PLC üzerinden gelen sesli ve görsel alarm üzerine operatör tarafından P-623, P-622, P-805A, P-805B, P-631, P632 pompaları ile B-802E blower'ın enerjisi şalterden kesilecektir.</t>
  </si>
  <si>
    <t xml:space="preserve">A-081</t>
  </si>
  <si>
    <t xml:space="preserve">1, 2, 3, 5, 10, 18, 23, 25, 26, 27, 28, 29, 30, 33</t>
  </si>
  <si>
    <t xml:space="preserve">R-801 tag numaralı reaktörün üzerinde bulunan PT-824 tag numaralı SIL2 sertifikalı basınç transmitteri reaktörün içerisinde yüksek basınç olmasını algılaması sonucu alarm üzerinde safety PLC üzerinden ESDV-801, ESDV-802, XXX tag numaralı SIL sertifikalı proses kontrol vanası kapatılmaktadır. SIL ekipmanların validasyon ve verifikasyon raporları alınacaktır.</t>
  </si>
  <si>
    <t xml:space="preserve">A-082</t>
  </si>
  <si>
    <t xml:space="preserve">1, 2, 3, 5, 7, 10, 25, 26, 27, 28, 29, 30</t>
  </si>
  <si>
    <t xml:space="preserve">V-809 Absorbsiyon Kolunu üzerinde PSV-805 tag numaralı emniyet ventili mevcuttur. Emniyet ventiline ait validasyon ve verifikasyon yapılacaktır.</t>
  </si>
  <si>
    <t xml:space="preserve">A-083</t>
  </si>
  <si>
    <t xml:space="preserve">Demin su hattında bulunan FCV-803 tag numaralı proses kontrol vanasının kapalı kalması hatası
(Tanktan V-804 Tag Numaralı Buharlaştırıcıya Dolum)</t>
  </si>
  <si>
    <t xml:space="preserve">Demin su hattında bulunan FCV-803 tag numaralı proses kontrol vanasının kapalı kalması hatası nedeniyle V-804 tag numaralı metanol buharlaştırıcısının metanol, hava ve oksijen molar oranı değişmesi ile metanol buharlaştırıcısı içerisinde oluşan karışımın patlayıcı ortam limitleriyle tutuşma sonucu yangın ve patlama riski veya toksik yayılım ve kimyasal maruziyet riski</t>
  </si>
  <si>
    <t xml:space="preserve">V-804 tag numaralı buharlaştırıcıya oksijen, metanol ve su oranını ayarlamak üzere interlok mevcuttur ancak oksijen, metanol ve su buharı için set değeri analiz edilerek sınırlandırılmalıdır. FT-804 tag numaralı akış transmiterinden yüksek akış sinyali alınıp PLC üzerinden otomatik olarak B-802 tag numaralı blower hızı azaltılmakta veya enerjisi kesilerek durdurulacaktır. (2.1. IPL)</t>
  </si>
  <si>
    <t xml:space="preserve">A-084</t>
  </si>
  <si>
    <t xml:space="preserve">9, 10</t>
  </si>
  <si>
    <t xml:space="preserve">V-809 Absorbsiyon kolunu üzerinde bulunan PT-804 tag numaralı basınç transmitteri hatası</t>
  </si>
  <si>
    <t xml:space="preserve">V-809 Absorbsiyon kolunu üzerinde bulunan PT-804 tag numaralı basınç transmitteri hatası sonucu V-809 absorbsiyon kolonunda basınç artışı nedeniyle fiziksel bütünlük kaybı olması ve emisyonun artması ile toksik kimyasal yayılım riski</t>
  </si>
  <si>
    <t xml:space="preserve">V-809 Absorbsiyon Kolunu üzerinde bulunan TT-815 tag numaralı sıcaklık transmitteri sıcaklığın artmasını algılayıp PLC üzerinden gelen sesli ve görsel alarm üzerine operatör tarafından P-623, P-622, P-805A, P-805B, P-631, P632 pompaları ile B-802E blower'ın enerjisi şalterden kesilecektir.</t>
  </si>
  <si>
    <t xml:space="preserve">A-085</t>
  </si>
  <si>
    <t xml:space="preserve">PT-818 tag numaralı basınç transmiteri hatası
(Tanktan V-804 Tag Numaralı Buharlaştırıcıya Dolum)</t>
  </si>
  <si>
    <t xml:space="preserve">PT-818 tag numaralı basınç transmiteri hatası sonucu V-804 tag numaralı metanol buharlaştırıcısına hava beslenmemesi ile oksijen molar oranı değişmesi sebebiyle yangın ve patlama riski veya toksik yayılım ve kimyasal maruziyet riski</t>
  </si>
  <si>
    <t xml:space="preserve">DN250-A.08-027-SS line numaralı hat üzerinde bulunan FT-802 tag numaralı akış transmitterinin hiç akış algılaması sonucu PLC üzerinden otomatik olarak B-802 tag numaralı blower fanı (FN-801) açılacaktır. (2.1.IPL)
(Senaryo gereği set edilen sensöre ek önlem alınması uygun görüldüğünden aksiyon alınmıştır.)</t>
  </si>
  <si>
    <t xml:space="preserve">A-086</t>
  </si>
  <si>
    <t xml:space="preserve">DN250-A.08-027-SS line numaralı hat üzerine kurulacak olan SIL sertifikalı oksijen analizörü ile hat içerisinde düşük basınç olmasını algılaması sonucu alarm üzerine safety PLC üzerinden XXX tag numaralı ESD vanası kapatılarak oksijen girişi engellenecektir. Validasyon ve verifikasyon alınacaktır.</t>
  </si>
  <si>
    <t xml:space="preserve">A-087</t>
  </si>
  <si>
    <t xml:space="preserve">36, 37</t>
  </si>
  <si>
    <t xml:space="preserve">BFV-812 veya BFV-813 tag numaralı manuel vananın operatör tarafından kapalı bırakılması hatası
(Tanktan V-804 Tag Numaralı Buharlaştırıcıya Dolum)</t>
  </si>
  <si>
    <t xml:space="preserve">BFV-812 veya BFV-813 tag numaralı manuel vananın operatör tarafından kapalı bırakılması hatası nedeniyle P-802 veya P-803 tag numaralı pompanın kuru çalışması sonucu yangın ve patlama riski veya toksik yayılım ve kimyasal maruziyet riski</t>
  </si>
  <si>
    <t xml:space="preserve">P-802 ve P-803 tag numaralı pompaya kuru çalışma koruma rölesi konulacaktır. Elektromekanik cihaz, sistemdeki basıncın varlığını kontrol eder. Basınç eşiğin altına düşer düşmez güç devresi kesilir, pompa çalışmayı durdurur.</t>
  </si>
  <si>
    <t xml:space="preserve">A-088</t>
  </si>
  <si>
    <t xml:space="preserve">4, 6, 11, 12</t>
  </si>
  <si>
    <t xml:space="preserve">V-809 Absorbsiyon kolunu üzerinde bulunan LT-803 tag numaralı seviye transmitteri hatası</t>
  </si>
  <si>
    <t xml:space="preserve">V-809 Absorbsiyon kolunu üzerinde bulunan LT-803 tag numaralı seviye transmitteri hatası sonucu V-809 tag numaralı absorbsiyon kolonunda seviyenin olduğu değerden daha düşük seviyeye düşmesi ile kolondan besleme yapılması sonucu V-809 tag numaralı absorbsiyon kolonunun vakuma girmesiyle fiziksel bütünlük kaybı olması ile toksik kimyasal yayılım riski</t>
  </si>
  <si>
    <t xml:space="preserve">DN50-FA.08-010-SS line numaralı hat üzerinde bulunan FT-809 tag numaralı akış transmitteri hatta akışın olmadığı algılaması üzerine PLC üzerinden sesli ve görsel alarm verecektir. Gelen bu alarm üzerine operatör tarafından P-810 tag numaralı pompanın enerjisi kesilecektir.</t>
  </si>
  <si>
    <t xml:space="preserve">A-089</t>
  </si>
  <si>
    <t xml:space="preserve">4, 6, 11, 12, 13</t>
  </si>
  <si>
    <t xml:space="preserve">Pano içerisinde kuru çalışma rölesi eklenerek P-810 tag numaralı pompa kuru çalışmaya karşı korunacaktır.</t>
  </si>
  <si>
    <t xml:space="preserve">A-090</t>
  </si>
  <si>
    <t xml:space="preserve">P-810 tag numaralı pompa üzerine eklenecek olan XXX tag numaralı sıcaklık sensörü pompanın kuru çalışmasında ısınmasını algılayıp kendi kontaktörü üzerinden sürücüsünü kapatacaktır.</t>
  </si>
  <si>
    <t xml:space="preserve">A-091</t>
  </si>
  <si>
    <t xml:space="preserve">V-809 Absorbsiyon kolunu üzerinde bulunan LT-807 tag numaralı seviye transmitteri hatası</t>
  </si>
  <si>
    <t xml:space="preserve">V-809 Absorbsiyon kolunu üzerinde bulunan LT-807 tag numaralı seviye transmitteri hatası sonucu V-809 Absorbsiyon kolonuna su besleme yapılamaması ile formaldehit gazının yoğuşmayarak gaz fazında konsantrasyonunun ve emisyonun artması ile toksik kimyasal yayılım riski</t>
  </si>
  <si>
    <t xml:space="preserve">V-809 Absorbsiyon Kolunu üzerinde bulunan LS-808 tag numaralı seviye transmitteri seviyenin düşmesini algılayıp PLC üzerinden gelen sesli ve görsel alarm üzerine operatör tarafından P-623, P-622, P-805A, P-805B, P-631, P632 pompaları ile B-802E blower'ın enerjisi şalterden kesilecektir.</t>
  </si>
  <si>
    <t xml:space="preserve">A-092</t>
  </si>
  <si>
    <t xml:space="preserve">V-809 absorbsiyon kolunu üzerinde PSV-805 tag numaralı emniyet ventili bulunmaktadır. Absorbsiyon kolununda basınçlanma olması durumunda PSV-805 tag numralı emniyet ventili atmosfere açmaktadır. Emniyet ventiline ait validasyon ve verifikasyon yapılacaktır.</t>
  </si>
  <si>
    <t xml:space="preserve">A-093</t>
  </si>
  <si>
    <t xml:space="preserve">V-809 Absorbsiyon kolunu üzerinde bulunan LS-807 tag numaralı seviye transmitteri hatası</t>
  </si>
  <si>
    <t xml:space="preserve">V-809 Absorbsiyon kolunu üzerinde bulunan LS-807 tag numaralı seviye transmitteri hatası sonucu V-809 Absorbsiyon kolonunda seviyenin artmasına bağlı sıcaklığın artması ile absorbsiyon kolununda basıncın artması nedeniyle fiziksel bütünlük kaybı olması ve emisyonun artması ile toksik kimyasal yayılım riski</t>
  </si>
  <si>
    <t xml:space="preserve">V-809 Absorbsiyon Kolunu üzerinde bulunan PT-804 tag numaralı basınç transmitteri basıncın artmasını algılayıp PLC üzerinden gelen sesli ve görsel alarm üzerine operatör tarafından acil durdurma butonuna basılarak P-623, P-622, P-805A, P-805B, P-631, P632 pompaları ile B-802E blower'ın enerjisi şalterden kesilecektir.</t>
  </si>
  <si>
    <t xml:space="preserve">A-094</t>
  </si>
  <si>
    <t xml:space="preserve">V-809 Absorbsiyon kolunu üzerinde bulunan LT-807 tag numaralı seviye transmitteri hatası sonucu V-809 Absorbsiyon kolonunda seviyenin artmasına bağlı sıcaklığın artması ile absorbsiyon kolununda basıncın artması nedeniyle fiziksel bütünlük kaybı olması ve emisyonun artması ile toksik kimyasal yayılım riski</t>
  </si>
  <si>
    <t xml:space="preserve">V-809 Absorbsiyon Kolunu üzerinde bulunan LT-807 tag numaralı seviye sivici seviyenin artmasını algılayıp PLC üzerinden gelen sesli ve görsel alarm üzerine operatör tarafından P-623, P-622, P-805A, P-805B, P-631, P632 pompaları ile B-802E blower'ın enerjisi şalterden kesilecektir.</t>
  </si>
  <si>
    <t xml:space="preserve">A-095</t>
  </si>
  <si>
    <t xml:space="preserve">R-801 tag numaralı reaktörün üzerinde bulunan PT-824 tag numaralı SIL2 sertifikalı basınç transmitteri reaktörün içerisinde yüksek basınç olmasını algılaması sonucu alarm üzerinde safety PLC üzerinden ESDV-801, ESDV-802, XXX tag numaralı SIL ekipmanların validasyon ve verifikasyon raporları alınacaktır.</t>
  </si>
  <si>
    <t xml:space="preserve">A-096</t>
  </si>
  <si>
    <t xml:space="preserve">BFV-810 tag numaralı manuel vananın açık kalma hatası
(V-804 Buharlaştırıcıdan R-801 Reaktöre Dolum)</t>
  </si>
  <si>
    <t xml:space="preserve">BFV-810 tag numaralı manuel vananın açık kalma hatası sonucu V-809 tag numaralı absorbsiyon kolonuna fazla %70 metanol ve %30 su beslenmesi sonucu atmosfere metanol gazının çıkışı olası kimyasal maruziyet</t>
  </si>
  <si>
    <t xml:space="preserve">BFV-810 tag numaralı manuel vanaya EKED/LOTO prosedürü uygulanacaktır.</t>
  </si>
  <si>
    <t xml:space="preserve">A-097</t>
  </si>
  <si>
    <t xml:space="preserve">PCV-802 tag numaralı proses kontrol vanasının kapalı kalması hatası
(V-804 Buharlaştırıcıdan R-801 Reaktöre Dolum)</t>
  </si>
  <si>
    <t xml:space="preserve">PCV-802 tag numaralı proses kontrol vanasının kapalı kalması hatası sonucu R-801 tag numaralı reaktörün basınçlanması sonucu yangın ve patlama ile çevreye yayılma sonucu çevresel kirlilik riski ve kimyasal maruziyet riski</t>
  </si>
  <si>
    <t xml:space="preserve">R-801 tag numaralı reaktörün üzerinde bulunan PT-824 tag numaralı SIL2 sertifikalı basınç transmitteri reaktörün içerisinde yüksek basınç olmasını algılaması sonucu alarm üzerinde safety PLC üzerinden ESDV-801, ESDV-802, XXX tag numaralı SIL sertifikalı proses kontrol vanası kapatılmaktadır. Ancak validasyon ve verifikasyon yapılacaktır.</t>
  </si>
  <si>
    <t xml:space="preserve">A-098</t>
  </si>
  <si>
    <t xml:space="preserve">LCV-801 tag numaralı oransal proses kontrol vanasının açık kalması hatası
(V-804 Buharlaştırıcıdan R-801 Reaktöre Dolum)</t>
  </si>
  <si>
    <t xml:space="preserve">LCV-801 tag numaralı oransal proses kontrol vanasının açık kalması hatası sonucu V-801 tag numaralı buhar dramının seviye yükselmesine bağlı basınçlanması sonucu yangın ve patlama ile çevreye yayılma sonucu çevresel kirlilik riski ve kimyasal maruziyet riski</t>
  </si>
  <si>
    <t xml:space="preserve">DN32-DW/SC.08-064-CS line numaralı hat üzerinde bulunan FT-812 tag numaralı akış transmitterinden akışın olmadığını algılaması sonucu PLC üzerinden P-626 ve P-627 tag numaralı su pompalarının enerjisi kesilerek trip ettirilecektir.</t>
  </si>
  <si>
    <t xml:space="preserve">A-099</t>
  </si>
  <si>
    <t xml:space="preserve">15, 16, 17, 31, 32</t>
  </si>
  <si>
    <t xml:space="preserve">BFV-821 veya BFV-818 tag numaralı manuel vanasının operatör tarafından kapalı bırakılması hatası</t>
  </si>
  <si>
    <t xml:space="preserve">BFV-821 veya BFV-818 tag numaralı manuel vanasının operatör tarafından kapalı bırakılması hatası sonucu E-810 tag numaralı plakalı eşanjörün sirkülasyon hatları sebebiyle fazla ısınması sonucu E-810 tag numaralı plakalı eşanjörün conta bağlantılarından sızıntı sonucu toksik yayılım, yangın ve patlama riski</t>
  </si>
  <si>
    <t xml:space="preserve">P-811 tag numaralı pompanın üzerinde PTC motor sıcaklık sensörü konulacaktır. Kumanda devresi üzerinden pompa otomatik durdurulacaktır.</t>
  </si>
  <si>
    <t xml:space="preserve">A-100</t>
  </si>
  <si>
    <t xml:space="preserve">13, 14</t>
  </si>
  <si>
    <t xml:space="preserve">BFV-823 tag numaralı manuel vanasının mekaniksel olarak kapalı kalması hatası</t>
  </si>
  <si>
    <t xml:space="preserve">BFV-823 tag numaralı manuel vanasının mekaniksel olarak kapalı kalması hatası sonucu P-811 tag numaralı pompanın kuru çalışmasıyla kavitasyon sonucu yangın riski</t>
  </si>
  <si>
    <t xml:space="preserve">DN50-FA.08-010-SS line numaralı hat üzerinde bulunan FT-809 tag numaralı akış transmitteri hatta akışın olmadığı algılaması üzerine PLC üzerinden sesli ve görsel alarm verecektir. Gelen bu alarm üzerine operatör tarafından P-811 tag numaralı pompanın enerjisi kesilecektir.</t>
  </si>
  <si>
    <t xml:space="preserve">A-101</t>
  </si>
  <si>
    <t xml:space="preserve">BFV-823 tag numaralı manuel vanasının operatör tarafından kapalı bırakılma hatası</t>
  </si>
  <si>
    <t xml:space="preserve">BFV-823 tag numaralı manuel vanasının operatör tarafından kapalı bırakılma hatası sonucu P-811 tag numaralı pompanın kuru çalışmasıyla kavitasyon sonucu yangın riski</t>
  </si>
  <si>
    <t xml:space="preserve">Pano içerisinde kuru çalışma rölesi eklenerek P-811 tag numaralı pompa kuru çalışmaya karşı korunacaktır.</t>
  </si>
  <si>
    <t xml:space="preserve">A-102</t>
  </si>
  <si>
    <t xml:space="preserve">P-811 tag numaralı pompa üzerine eklenecek olan XXX tag numaralı sıcaklık sensörü pompanın kuru çalışmasında ısınmasını algılayıp kendi kontaktörü üzerinden sürücüsünü kapatacaktır.</t>
  </si>
  <si>
    <t xml:space="preserve">A-103</t>
  </si>
  <si>
    <t xml:space="preserve">19, 20</t>
  </si>
  <si>
    <t xml:space="preserve">BFV-815, BFV-816 veya BFV-817 tag numaralı manuel vanaların operatör tarafından kapalı bırakılması hatası</t>
  </si>
  <si>
    <t xml:space="preserve">BFV-815, BFV-816 veya BFV-817 tag numaralı manuel vanaların operatör tarafından kapalı bırakılması hatası sonucu DN200-MeOH.08-004-SS line numaralı hatta flanş conta bağlantılarından sızıntı sonucu toksik yayılım, yangın ve patlama riski</t>
  </si>
  <si>
    <t xml:space="preserve">P-802 ve P-803 tag numaralı pompanın üzerinde PTC motor sıcaklık sensörü konulacaktır. Kumanda devresi üzerinden pompa otomatik durdurulacaktır.</t>
  </si>
  <si>
    <t xml:space="preserve">A-104</t>
  </si>
  <si>
    <t xml:space="preserve">15, 17</t>
  </si>
  <si>
    <t xml:space="preserve">BFV-821 veya BFV-818 tag numaralı manuel vanasının mekaniksel olarak kapalı kalması hatası</t>
  </si>
  <si>
    <t xml:space="preserve">BFV-821 veya BFV-818 tag numaralı manuel vanasının mekaniksel olarak kapalı kalması hatası sonucu E-810 tag numaralı plakalı eşanjörün sirkülasyon hatları sebebiyle fazla ısınması sonucu E-810 tag numaralı plakalı eşanjörün conta bağlantılarından sızıntı sonucu toksik yayılım, yangın ve patlama riski</t>
  </si>
  <si>
    <t xml:space="preserve">BFV-821, BFV-818 tag numaralı manuel vanalara açık konumda EKED/LOTO prosedürü uygulanmadan operasyon başlatılmayacaktır.</t>
  </si>
  <si>
    <t xml:space="preserve">A-105</t>
  </si>
  <si>
    <t xml:space="preserve">BV-8044 tag numaralı manuel vanaların açık kalması hatası</t>
  </si>
  <si>
    <t xml:space="preserve">Mevcut saha koşullarında kör tapa mevcuttur yalnızca bakım anlarında kullanıldığı beyan edilmiştir. Bu sebeple aksiyon olarak EKED/LOTO prosedürü aksiyon olarak istenmiştir.</t>
  </si>
  <si>
    <t xml:space="preserve">BV-8044 tag numaralı manuel vanaların kapalı konumda EKED/LOTO prosedürü uygulanmadan operasyon başlatılmayacaktır.</t>
  </si>
  <si>
    <t xml:space="preserve">A-106</t>
  </si>
  <si>
    <t xml:space="preserve">65</t>
  </si>
  <si>
    <t xml:space="preserve">BV-8053, BV-8054, BV-8051, BV-8052, BV-8050, BV-8045, BV-8046, BV-8047, BV-8107, BV-8108, BV-8102, BV-8091, BV-8088, BV-8094, BV-8095, BV-8096, BV-8084, BV-8083, BV-8085, BV-8074, BV-8091, BV-8076, BV-8098, BV-8073, BV-8078, BV-8079, BV-8080, BV-8059, BV-8060, BV-8061, BV-8062 tag numaralı manuel numune vanasının mekaniksel olarak açık kalması hatası</t>
  </si>
  <si>
    <t xml:space="preserve">BV-8053, BV-8054, BV-8051, BV-8052, BV-8050, BV-8045, BV-8046, BV-8047, BV-8107, BV-8108, BV-8102, BV-8091, BV-8088, BV-8094, BV-8095, BV-8096, BV-8084, BV-8083, BV-8085, BV-8074, BV-8091, BV-8076, BV-8098, BV-8073, BV-8078, BV-8079, BV-8080, BV-8059, BV-8060, BV-8061, BV-8062 tag numaralı manuel numune vanasının mekaniksel olarak açık kalması hatası sonucu kimyasal toksik yayılımı ile yangın ve patlama riski ilgili dreyn vanasının kalıcı olarak körleneceği işletmeci tarafından beyan edildiğinde</t>
  </si>
  <si>
    <t xml:space="preserve">İlgili dreyn vanasının kalıcı olarak körleneceği işletmeci tarafından beyan edildiğinden, hedef tesis konfigürasyonunda bu bağlantı aktif dreyn noktası olarak değerlendirilmemiştir. Körleme işlemi HAZOP aksiyonu olarak takip edilmelidir.
İlgili dreyn vanalarının uygun sınıfta kör flanş/blind ile fiziksel olarak izole edildiğinin saha doğrulaması yapılarak P&amp;ID güncellenmeli ve değişiklik MOC kapsamında kayıt altına alınmalıdır.</t>
  </si>
  <si>
    <t xml:space="preserve">A-107</t>
  </si>
  <si>
    <t xml:space="preserve">22, 24</t>
  </si>
  <si>
    <t xml:space="preserve">BFV-819 veya BFV-865 tag numaralı manuel vananın mekaniksel olarak kapalı kalması hatası</t>
  </si>
  <si>
    <t xml:space="preserve">BFV-819 veya BFV-865 tag numaralı manuel vananın mekaniksel olarak kapalı kalması hatası sonucu P-810 ve P-811 tag numaralı pomapaların basma hattında basınçlanma (DN150-FA.08-009-SS line numaralı hattın basınçlanması) sonucu conta bağlantılarından sızıntı sonucu toksik yayılım, yangın ve patlama riski</t>
  </si>
  <si>
    <t xml:space="preserve">P-802 veya P-803 tag numaralı pompanın üzerinde PTC motor sıcaklık sensörü konulacaktır. Kumanda devresi üzerinden pompa otomatik durdurulacaktır.</t>
  </si>
  <si>
    <t xml:space="preserve">A-108</t>
  </si>
  <si>
    <t xml:space="preserve">37, 38</t>
  </si>
  <si>
    <t xml:space="preserve">P-807 tag numaralı pompa emme yaparken BFV-847 veya BFV-849 tag numaralı manuel vanasının operatör tarafından kapalı bırakılması hatası</t>
  </si>
  <si>
    <t xml:space="preserve">P-807 tag numaralı pompa emme yaparken BFV-847 veya BFV-849 tag numaralı manuel vanasının operatör tarafından kapalı bırakılması hatası sonucu P-807 tag numaralı pompanın kavitasyon riski</t>
  </si>
  <si>
    <t xml:space="preserve">DN100-FA.08-094-SS line numaralı hatta bulunan TT-815 tag numaralı sıcaklık transmitterinden en düşük 60C'de alarm üretecek şekilde set edilerek ürünün gelmediği bilgisi sıcaklıktan alınarak PLC üzerinden sesli ve görsel alarm üzerine operatör tarafından P-807 tag numaralı pompanın şalterden enerjisi kesilerek kapatılacaktır.</t>
  </si>
  <si>
    <t xml:space="preserve">A-109</t>
  </si>
  <si>
    <t xml:space="preserve">37, 38, 39, 40, 41, 45, 46</t>
  </si>
  <si>
    <t xml:space="preserve">P-807 tag numaralı pompanın üzerinde PTC motor sıcaklık sensörü konulacaktır. Kumanda devresi üzerinden pompa otomatik durdurulacaktır.</t>
  </si>
  <si>
    <t xml:space="preserve">A-110</t>
  </si>
  <si>
    <t xml:space="preserve">Pano içerisinde kuru çalışma rölesi eklenerek P-807 tag numaralı pompa kuru çalışmaya karşı korunacaktır.</t>
  </si>
  <si>
    <t xml:space="preserve">A-111</t>
  </si>
  <si>
    <t xml:space="preserve">57, 58, 59, 60, 61</t>
  </si>
  <si>
    <t xml:space="preserve">P-804 tag numaralı pompa basma yaparken BFV-827, BFV-828 veya BFV-825 tag numaralı manuel vananın operatör tarafından kapalı bırakılması hatası</t>
  </si>
  <si>
    <t xml:space="preserve">P-804 tag numaralı pompa basma yaparken BFV-827, BFV-828 veya BFV-825 tag numaralı manuel vananın operatör tarafından kapalı bırakılması hatası sonucu P-804 tag numaralı pompanın basma hattında basınçlanma ile birlikte flanş bağlantılarıdan sızıntı ile toksik yayılım, yangın ve patlama riski</t>
  </si>
  <si>
    <t xml:space="preserve">P-804 tag numaralı pompanın üzerinde PTC motor sıcaklık sensörü konulacaktır. Kumanda devresi üzerinden pompa otomatik durdurulacaktır.</t>
  </si>
  <si>
    <t xml:space="preserve">A-112</t>
  </si>
  <si>
    <t xml:space="preserve">5, 6, 7, 9</t>
  </si>
  <si>
    <t xml:space="preserve">B132.2 tag numaralı ateşleme ekipmanının hatası
(V-809 Absorpsiyon Kolonundan Gaz Yakma Ünitesine Transfer)</t>
  </si>
  <si>
    <t xml:space="preserve">B132.2 tag numaralı ateşleme ekipmanının hatası sonucu yakma prosesinin gerçekleşmemesi ile birlikte atık gazın atmosfere verilmesi ile çevreye yayılma sonucu çevresel kirlilik riski veya yangın ve patlama riski veya toksik yayılım ve kimyasal maruziyet riski</t>
  </si>
  <si>
    <t xml:space="preserve">Gaz yakma ünitesi stopa gidince timer ile PLC üzerinden 6 saatlik geri sayım ile kurularak Çevre Bakanlığı'nin tanıdığı 6 saatlik süre kullanılır. 6 saatin sonunda tüm sistem otomatik olarak trip edecektir.</t>
  </si>
  <si>
    <t xml:space="preserve">A-113</t>
  </si>
  <si>
    <t xml:space="preserve">7, 9</t>
  </si>
  <si>
    <t xml:space="preserve">DN200-A.13-015-SS line numaralı hava hattı üzerinde bulunan FCV-13005 tag numaralı proses kontrol vanasının kapalı kalması hatası
(V-809 Absorpsiyon Kolonundan Gaz Yakma Ünitesine Transfer)</t>
  </si>
  <si>
    <t xml:space="preserve">DN200-A.13-015-SS line numaralı hava hattı üzerinde bulunan FCV-13005 tag numaralı proses kontrol vanasının kapalı kalması hatası sonucu yanma için yeterli oksijenin sağlanamaması ile birlikte atık gazın yakılamadan atmosfere verilmesi ile çevreye yayılma sonucu çevresel kirlilik riski veya yangın ve patlama riski veya toksik yayılım ve kimyasal maruziyet riski</t>
  </si>
  <si>
    <t xml:space="preserve">Gaz yakma ünitesinde bulunan beck ve alev sensöründen alev algılanmaması durumunda kendi kontrol panosu üzerinden (röle) gaz yakmaya besleyen XXX tag numaralı vanalar kapatılarak sistem trip ettirilecektir.</t>
  </si>
  <si>
    <t xml:space="preserve">A-114</t>
  </si>
  <si>
    <t xml:space="preserve">Gümüş tesisinde (metanol tank sahası, formaldehit reaksiyon alanı, R-801 reaktör alanı ve V-809 absorbsiyon alanı ve gaz yakma ünitesi) deprem oluşumu sonucu hasarlanma
**İlgili senaryo Polisan Kimya HAZOP ekibi tarafından gözden geçirilecektir.</t>
  </si>
  <si>
    <t xml:space="preserve">Gümüş tesisinde deprem oluşumu sonucu hasarlanma nedeni ile ekipmanlarda bütünlük kaybı sebebiyle sızıntı ile çevreye yayılma sonucu çevresel kirlilik riski veya yangın ve patlama riski veya toksik yayılım ve kimyasal maruziyet riski</t>
  </si>
  <si>
    <t xml:space="preserve">Gümüş tesisi (metanol tank sahası, formaldehit reaksiyon alanı, R-801 reaktör alanı ve V-809 absorbsiyon alanı ve gaz yakma ünitesi) alanlarında parlama ve yangın riskini önlemek üzere XXX tag numaralı deprem sensörü takılarak PLC üzerinden kritik sistemler hariç (jeneratör, yangın söndürme sistemi, hidrant pompaları, PLC, DCs vb. hariç) yangın ve kıvılcım çıkarma ihtimali olan ekipman veya cihazların enerjisi otomatik kesilecektir.</t>
  </si>
  <si>
    <t xml:space="preserve">A-115</t>
  </si>
  <si>
    <t xml:space="preserve">XXX tag numaralı tank etrafında taşmanın tamamını alacak ve ayrıca 24 yılda yağacak en fazla yağmur suyunu veya itfaiyenin sıkacağı söndürme suyunu alabilecek kapasitede tank havuzu yapılacaktır.</t>
  </si>
  <si>
    <t xml:space="preserve">A-116</t>
  </si>
  <si>
    <t xml:space="preserve">Metanol tank sahası ve gümüş tesisi arasında bulunan boru hatları altına drenaj kanalları 450kg/10dk'lık döküntüyü karşılayacak kapasitede yapılacaktır. 10 yılda bir hidrostatik testi ile boru hatlarının stres dayanım testi yapılmaktadır. Gerekli olan boru hatlarında stres ve gerilimi azaltmak üzere OMEGA boru bağlantıları yapılacaktır.</t>
  </si>
  <si>
    <t xml:space="preserve">A-117</t>
  </si>
  <si>
    <t xml:space="preserve">XXX tag numaralı tankın giriş ve çıkış hatları üzerinde deprem kompansatörü yapılacaktır.</t>
  </si>
  <si>
    <t xml:space="preserve">A-118</t>
  </si>
  <si>
    <t xml:space="preserve">XXXXXX tag numaralı tankın giriş ve çıkış hatları üzerinde depreme karşı esnekliği sağlayacak KAYAR MESNET bağlantı mevcuttur.</t>
  </si>
  <si>
    <t xml:space="preserve">A-119</t>
  </si>
  <si>
    <t xml:space="preserve">Fiziksel Bariyer önlemleri tekrar değerlendirilerek alınabilecek akisyonlar özelinde risk azaltımı yapılacaktır.</t>
  </si>
  <si>
    <t xml:space="preserve">A-120</t>
  </si>
  <si>
    <t xml:space="preserve">Gümüş tesisinde (metanol tank sahası, formaldehit reaksiyon alanı, R-801 reaktör alanı ve V-809 absorbsiyon alanı ve gazyakma ünitesi) sabotaj yapılması ile hasarlanma
**İlgili senaryo Polisan Kimya HAZOP ekibi tarafından gözden geçirilecektir.</t>
  </si>
  <si>
    <t xml:space="preserve">Gümüş tesisinde sabotaj yapılması ile hasarlanma sonucu ekipmanda bütünlük kaybı sebebiyle sızıntı ile çevreye yayılma sonucu çevresel kirlilik riski veya yangın ve patlama riski veya toksik yayılım ve kimyasal maruziyet riski</t>
  </si>
  <si>
    <t xml:space="preserve">Tesisin tamamını çevreleyecek şekilde tel örgü çit mevcuttur. Yabancı kişilerin girişini engelleyecek şekilde dizayn edilmiştir.</t>
  </si>
  <si>
    <t xml:space="preserve">A-121</t>
  </si>
  <si>
    <t xml:space="preserve">57, 58</t>
  </si>
  <si>
    <t xml:space="preserve">P-804 tag numaralı pompa emme yaparken BFV-826 tag numaralı manuel vananın operatör tarafından kapalı bırakılması hatası</t>
  </si>
  <si>
    <t xml:space="preserve">P-804 tag numaralı pompa emme yaparken BFV-826 tag numaralı manuel vananın operatör tarafından kapalı bırakılması hatası sonucu P-804 tag numaralı pompada kavitasyon, yangın ve patlama riski</t>
  </si>
  <si>
    <t xml:space="preserve">DN100-FA.08-083-SS line numaralı hatta bulunan TT-818 tag numaralı sıcaklık transmitterinden en düşük XXXC'de alarm üretecek şekilde set edilerek ürünün gelmediği bilgisi sıcaklıktan alınarak PLC üzerinden sesli ve görsel alarm üzerine operatör tarafından P-804 tag numaralı pompanın şalterden enerjisi kesilerek kapatılacaktır.</t>
  </si>
  <si>
    <t xml:space="preserve">A-122</t>
  </si>
  <si>
    <t xml:space="preserve">Pano içerisinde kuru çalışma rölesi eklenerek P-804 tag numaralı pompa kuru çalışmaya karşı korunacaktır.</t>
  </si>
  <si>
    <t xml:space="preserve">A-123</t>
  </si>
  <si>
    <t xml:space="preserve">49, 50</t>
  </si>
  <si>
    <t xml:space="preserve">P-805 tag numaralı pompa emme yaparken BFV-837 tag numaralı manuel vananın operatör tarafından kapalı bırakılması hatası</t>
  </si>
  <si>
    <t xml:space="preserve">P-805 tag numaralı pompa emme yaparken BFV-837 tag numaralı manuel vananın operatör tarafından kapalı bırakılması hatası sonucu P-805 tag numaralı pompada kavitasyon, yangın ve patlama riski</t>
  </si>
  <si>
    <t xml:space="preserve">DN80-FA.08-089-SS line numaralı hatta bulunan TT-816 tag numaralı sıcaklık transmitterinden en düşük XXXC'de alarm üretecek şekilde set edilerek ürünün gelmediği bilgisi sıcaklıktan alınarak PLC üzerinden sesli ve görsel alarm üzerine operatör tarafından P-805 tag numaralı pompanın şalterden enerjisi kesilerek kapatılacaktır.</t>
  </si>
  <si>
    <t xml:space="preserve">A-124</t>
  </si>
  <si>
    <t xml:space="preserve">49, 50, 51, 52, 53</t>
  </si>
  <si>
    <t xml:space="preserve">P-805 tag numaralı pompanın üzerinde PTC motor sıcaklık sensörü konulacaktır. Kumanda devresi üzerinden pompa otomatik durdurulacaktır.</t>
  </si>
  <si>
    <t xml:space="preserve">A-125</t>
  </si>
  <si>
    <t xml:space="preserve">Pano içerisinde kuru çalışma rölesi eklenerek P-805 tag numaralı pompa kuru çalışmaya karşı korunacaktır.</t>
  </si>
  <si>
    <t xml:space="preserve">A-126</t>
  </si>
  <si>
    <t xml:space="preserve">Gümüş tesisinde yer alan ekipmanlara ait araç çarpması hatası (Tanker, Tren, Uçak vb.) ile hasarlanma
**İlgili senaryo Polisan Kimya HAZOP ekibi tarafından gözden geçirilecektir.</t>
  </si>
  <si>
    <t xml:space="preserve">Gümüş tesisinde yer alan ekipmanlara ait araç çarpması hatası (Tanker, Tren, Uçak vb.) ile hasarlanma sonucu ekipmanda yangın ve patlama meydana gelmesi</t>
  </si>
  <si>
    <t xml:space="preserve">Gümüş tesisi etrafını çevreleyen ve araç çarpmasını engeleyecek bariyerler (bariyerler POLİSAN KİMYA tarafından detaylandırılmalıdır.) konulacaktır.</t>
  </si>
  <si>
    <t xml:space="preserve">A-127</t>
  </si>
  <si>
    <t xml:space="preserve">Gümüş tesisinde yer alan ekipmanlarda korozyon oluşumu ile hasarlanma</t>
  </si>
  <si>
    <t xml:space="preserve">Gümüş tesisinde yer alan ekipmanlarda korozyon oluşumu ile hasarlanma nedeniyle tanktan sızıntı sonucu yangın ve patlama riski.</t>
  </si>
  <si>
    <t xml:space="preserve">Olası bir korozyon durumunda FT-802 tag numaralı akış transmitterinden düşük akış algılaması sonucu PLC üzerinden trip etmektedir. Korozyonun FT-802 tag numaralı akış transmitterinden sonrası olması durumunda V-804 tag numaralı metanol buharlaştırıcı üzerine kurulacak olan SIL sertifikalı oksijen analizörü ile V-804 tag numaralı buharlaştırıcı içerisinde yüksek basınç olmasını algılaması sonucu alarm üzerine safety PLC üzerinden XXX tag numaralı ESD vanası kapatılarak oksijen girişi engellenecek</t>
  </si>
  <si>
    <t xml:space="preserve">A-128</t>
  </si>
  <si>
    <t xml:space="preserve">Gümüş tesisinde yer alan ekipmanlarda API 571 standardına göre Korozyon Hasar Mekanizmalarının çıkarılması ve API580 ve 581 çerçevesinde ömür tayini ile NDT uygulanarak boru korozyona uğramadan değişimi sağlanacaktır.</t>
  </si>
  <si>
    <t xml:space="preserve">A-129</t>
  </si>
  <si>
    <t xml:space="preserve">V-809 Absorbsiyon kolunu üzerinde bulunan LT-803 tag numaralı seviye transmitteri hatası sonucu V-809 Absorbsiyon kolonunda seviyenin artmasına bağlı sıcaklığın artması ile absorbsiyon kolununda basıncın artması nedeniyle fiziksel bütünlük kaybı olması ve emisyonun artması ile toksik kimyasal yayılım riski</t>
  </si>
  <si>
    <t xml:space="preserve">V-809 Absorbsiyon Kolunu üzerinde bulunan PT-804 tag numaralı basınç transmitteri basıncın artmasını algılayıp PLC üzerinden gelen sesli ve görsel alarm üzerine operatör tarafından P-623, P-622, P-805A, P-805B, P-631, P-632 pompaları ile B-802E blower'ın enerjisi şalterden kesilecektir.</t>
  </si>
  <si>
    <t xml:space="preserve">A-130</t>
  </si>
  <si>
    <t xml:space="preserve">T-101 - T-104 tag numaralı evaporatörün üzerinde bulunan TI-105 tag numaralı seviye transmitteri hatası</t>
  </si>
  <si>
    <t xml:space="preserve">T-101 - T-104 tag numaralı evaporatörün üzerinde bulunan LAH-105 tag numaralı seviye transmitteri hatası sebebiyle T-201 - T-204 tag numaralı evaporatörde metanol buharının kontrolsüz birikmesiyle basınçlanması sonucu sızıntı ve yangın riski</t>
  </si>
  <si>
    <t xml:space="preserve">T-201 - T-204 tag numaralı evaporatörün çıkışına SIL 2 sertifikalı XX tag numaralı basınç transmiteri eklenecektir. XX tag numaralı basınç transmiterinden yüksek basınç sinyal algılanarak safety PLC üzerinden otomatik olarak P-101a ve P-101b tag numaralı pompalara eklenecek PLd kontaktörü kapatılacaktır. Ayrıca DN50-MeOH.01-126-SS line numaralı boru hattı üzerinde mevcut olan ESDV-101 tag numaralı SIL sertifikalı proses kontrol vanası otomatik olarak kapatılacaktır.</t>
  </si>
  <si>
    <t xml:space="preserve">A-131</t>
  </si>
  <si>
    <t xml:space="preserve">XX tag numaralı oksijen analizörü hatası</t>
  </si>
  <si>
    <t xml:space="preserve">XX tag numaralı oksijen analizörü hatası sebebiyle reaktördeki oksijen oranı %11 - 11,2  altına düşmesi ile reaksiyon gerçekleşmeyeceğinden formaldehit yeterli derecede oluşmayacağı için T-101 - T-104 tag numaralı evaporatör içerisinde metanolün seviyesinin artması sonucu basınçlanma, sızıntı ve yangın riski.</t>
  </si>
  <si>
    <t xml:space="preserve">T-201 - T-204 tag numaralı evaporatörün çıkışına SIL 2 sertifikalı XX tag numaralı basınç transmiteri eklenecektir. XX tag numaralı basınç transmiterinden yüksek basınç sinyal algılanarak safety PLC üzerinden otomatik olarak P-101a ve P-101b tag numaralı pompalara eklenecek PLd kontaktörü kapatılacaktır. Ayrıca DN50-MeOH.01-126-SS line numaralı boru hattı üzerinde mevcut olan SIL 2 sertifikalı ESDV-101 proses kontrol vanası otomatik olarak kapatılacaktır. Ayrıca V101, V102, V103 fanlarına PLd se</t>
  </si>
  <si>
    <t xml:space="preserve">A-132</t>
  </si>
  <si>
    <t xml:space="preserve">39, 40</t>
  </si>
  <si>
    <t xml:space="preserve">P-103a tag numaralı pompa emme hattında bulunan BFV-01.042 tag numaralı manuel vananın mekaniksel olarak kapalı kalması hatası</t>
  </si>
  <si>
    <t xml:space="preserve">P-103a tag numaralı pompa emme hattında bulunan BFV-01.042 tag numaralı manuel vananın mekaniksel olarak kapalı kalması hatası sonucunda P-103a tag numaralı pompanın kuru çalışması sonucu kavitasyon ve yangın ve patlama riski oluşarak sirkülasyon verimli yapılamaz ve C101 absorbsiyon kolonunda seviye artışına bağlı T-101 - T-104 tag numaralı evaporatörüne doğru hattı basınçlandırması sonucu sıcaklık artışı ile patlama riski</t>
  </si>
  <si>
    <t xml:space="preserve">P-103a tag numaralı pompaya ait FG-109 tag numaralı invertörü mevcuttur. FG-109 tag numaralı invertörünün düşük akım çekmesi durumunda pompa driverından durdurulacaktır.</t>
  </si>
  <si>
    <t xml:space="preserve">A-133</t>
  </si>
  <si>
    <t xml:space="preserve">TK75PMP (310047013) tag numaralı pompa kapatma hatası vererek çalışmaya devam etmesi üzerine hatta yüksek akış sebebiyle statik elektriklenme hatası
(Komşu Tesisten Tanka Dolum)</t>
  </si>
  <si>
    <t xml:space="preserve">TK75PMP (310047013) tag numaralı pompa kapatma hatası vererek vererek çalışmaya devam etmesi üzerine hatta yüksek akış sebebiyle statik elektriklenme hatası sonucu T-303 tag numaralı tank içinde yangın ve patlama</t>
  </si>
  <si>
    <t xml:space="preserve">310047013/310046878, TK75PMP/TK85PMP tag numaralı pompaların besleme debileri IEC 60079-32-1 standartına uygun şekilde sınırlandırılacaktır. Doğrusal akış hızı hiçbir zaman 7 m/s'yi aşmamalıdır. Düşük iletkenlikli sıvıların kısa (N=1), sabit yatay eksenli tanklara 40'lık borularla yüklenmesi için hız ve dolum oranı sınırları 60079-32-1 7.3.2.3.5.3 sabit tanklar için limitlere göre hesaplanmalıdır ve Tablo 10’da belirtilen limit değerleri aşmadığı raporlanmalıdır. Pompa debileri hesaplanılan hız </t>
  </si>
  <si>
    <t xml:space="preserve">A-134</t>
  </si>
  <si>
    <t xml:space="preserve">47, 48</t>
  </si>
  <si>
    <t xml:space="preserve">BV-8106, BV-8105, BV-8104 veya BV-8103 tag numaralı manuel numune vanasının operatör tarafından açık bırakılması hatası</t>
  </si>
  <si>
    <t xml:space="preserve">BV-8106, BV-8105, BV-8104 veya BV-8103 tag numaralı manuel numune vanasının operatör tarafından açık bırakılması hatası sonucu kimyasal yayılımı ile birlikte toksik yayılım, yangın ve patlama riski</t>
  </si>
  <si>
    <t xml:space="preserve">Gümüş tesisi zemin kat alanında bulunan sirkülasyon hatlarına ait numune vanalarının bulunduğu alana konulacak olan gaz dedektöründen kendi kontrol panosu üzerinden (röle) sesli ve görsel alarm üzerine operatör tarafından BV-8106, BV-8105, BV-8104 veya BV-8103 tag numaralı manuel numune vanaları kapatılacaktır.</t>
  </si>
  <si>
    <t xml:space="preserve">A-135</t>
  </si>
  <si>
    <t xml:space="preserve">BV-8106, BV-8105, BV-8104 veya BV-8103 tag numaralı manuel numune vanasına dead man vana eklenecektir.</t>
  </si>
  <si>
    <t xml:space="preserve">A-136</t>
  </si>
  <si>
    <t xml:space="preserve">Numune vanalarına proses koşullarında kapalı konumda EKED/LOTO prosedürü uygulanmadan operasyon başlatılmayacak şekilde prosedür düzenlenecektir.</t>
  </si>
  <si>
    <t xml:space="preserve">A-137</t>
  </si>
  <si>
    <t xml:space="preserve">BV-8106, BV-8105, BV-8104 veya BV-8103 tag numaralı manuel numune vanalarına kapalı tip numune kabı kullanılarak yayılım engellenecektir.</t>
  </si>
  <si>
    <t xml:space="preserve">A-138</t>
  </si>
  <si>
    <t xml:space="preserve">43, 44, 45, 46, 47</t>
  </si>
  <si>
    <t xml:space="preserve">P-103a tag numaralı pompa basma yaparken BFV-01.039, BV-01.005, BV-01.002 veya BV-01.003 tag numaralı manuel vanasının operatör tarafından kapalı bırakılması hatası</t>
  </si>
  <si>
    <t xml:space="preserve">P-103a tag numaralı pompa basma yaparken BFV-01.039, BV-01.005, BV-01.002 veya BV-01.003 tag numaralı manuel vanasının operatör tarafından kapalı bırakılması hatası sonucu C101 absorbsiyon kolonunda seviye artışına bağlı T-101 - T-104 tag numaralı evaporatörüne doğru hattı basınçlandırması sonucu sıcaklık artışı ile patlama riski</t>
  </si>
  <si>
    <t xml:space="preserve">DN40-FA.01-100-SS line numaralı hat üzerinde bulunan FT-107 tag numaralı akış transmitterinden akış yok sinyalı algılaması sonucu PLC üzerinden sesli ve görsel alarm üzerine operatör tarafından P-103a tag numaralı pompa şalterden enerjisi kesilerek kapatılacaktır.</t>
  </si>
  <si>
    <t xml:space="preserve">A-139</t>
  </si>
  <si>
    <t xml:space="preserve">49, 50, 51, 52, 53, 54, 55, 56</t>
  </si>
  <si>
    <t xml:space="preserve">T-106 tag numaralı ısı değiştirici (Eşanjör) hatası</t>
  </si>
  <si>
    <t xml:space="preserve">T-106 tag numaralı ısı değiştirici (Eşanjör) hatası sonucu 3.sirkülasyon hattının yeteri kadar soğutamamasına bağlı olarak absorpsiyon veriminin kaybı ile birlikte C101 absorpsiyon kolonundan emisyon artışı nedeniyle toksik gaz yayılımı ve çevresel kirlilik riski</t>
  </si>
  <si>
    <t xml:space="preserve">Gaz yakma ünitesine yanma ürününün fazla beslenmesi sonucu yanamayan ürün çıkışı olur timer ile PLC üzerinden 6 saatlik geri sayım ile kurularak Çevre Bakanlığı'nin tanıdığı 6 saatlik süre kullanılır. 6 saatin sonunda tüm sistem otomatik olarak trip edecektir.</t>
  </si>
  <si>
    <t xml:space="preserve">A-140</t>
  </si>
  <si>
    <t xml:space="preserve">48, 49, 50, 51, 52, 53, 54, 55, 56, 61, 62, 63</t>
  </si>
  <si>
    <t xml:space="preserve">T-111 tag numaralı sıcaklık transmitterinden 55C sıcaklık algılaması üzerine PLC üzerinden sesli ve görsel alarm üzerine operatör tarafından acil stop butonuna basılarak sistem trip ettirir.</t>
  </si>
  <si>
    <t xml:space="preserve">A-141</t>
  </si>
  <si>
    <t xml:space="preserve">43, 44</t>
  </si>
  <si>
    <t xml:space="preserve">P-103a tag numaralı pompa basma yaparken BFV-01.039 numaralı manuel vanasının mekaniksel olarak kapalı kalması hatası</t>
  </si>
  <si>
    <t xml:space="preserve">P-103a tag numaralı pompa basma yaparken BFV-01.039 numaralı manuel vanasının mekaniksel olarak kapalı kalması hatası sonucu P-103a tag numaralı pompanın basma hattında basınçlanma ile birlikte flanş bağlantılarıdan sızıntı ile toksik yayılım, yangın ve patlama riski</t>
  </si>
  <si>
    <t xml:space="preserve">P-103a tag numaralı pompaya ait FG-109 tag numaralı invertörü mevcuttur. FG-109 tag numaralı invertörünün yüksek akım çekmesi durumunda pompa driverından durdurulacaktır.</t>
  </si>
  <si>
    <t xml:space="preserve">A-142</t>
  </si>
  <si>
    <t xml:space="preserve">P-103a tag numaralı pompaya PTC motor sıcaklık sensörü konulacaktır. Kumanda devresi üzerinden pompa otomatik durdurulacaktır.</t>
  </si>
  <si>
    <t xml:space="preserve">A-143</t>
  </si>
  <si>
    <t xml:space="preserve">Oksit tesisinde (metanol tank sahası, T101-T-104 ve T-102 eşanjör alanı, R-101 reaktör alanı ve C-101 absorbsiyon alanı ve gaz yakma ünitesi) korozyon oluşumu ile hasarlanma</t>
  </si>
  <si>
    <t xml:space="preserve">Oksit tesisinde (metanol tank sahası, T101-T-104 ve T-102 eşanjör alanı, R-101 reaktör alanı ve C-101 absorbsiyon alanı ve gaz yakma ünitesi) korozyon oluşumu ile hasarlanma nedeniyle tanktan sızıntı sonucu yangın ve patlama riski.</t>
  </si>
  <si>
    <t xml:space="preserve">Oksit tesisinde yer alan ekipmanlarda API 571 standardına göre Korozyon Hasar Mekanizmalarının çıkarılması ve API580 ve 581 çerçevesinde ömür tayini ile NDT uygulanarak boru korozyona uğramadan değişimi sağlanacaktır.</t>
  </si>
  <si>
    <t xml:space="preserve">A-144</t>
  </si>
  <si>
    <t xml:space="preserve">Oksit tesisinde yer alan ekipmanlarda katodik koruma ile korunacaktır.</t>
  </si>
  <si>
    <t xml:space="preserve">A-145</t>
  </si>
  <si>
    <t xml:space="preserve">Oksit tesisinde yer alan ekipmanların tabanı ve cidarı ile çatısı dahil olmak üzere tüm ekipman korozyona dayanıklı boya ile boyanacaktır.</t>
  </si>
  <si>
    <t xml:space="preserve">A-146</t>
  </si>
  <si>
    <t xml:space="preserve">64</t>
  </si>
  <si>
    <t xml:space="preserve">DN300-WG.01-052-SS line numaralı hat üzerinde bulunan HV-101 tag numaralı proses kontrol vanasının mekaniksel olarak kapalı kalması hatası</t>
  </si>
  <si>
    <t xml:space="preserve">DN300-WG.01-052-SS line numaralı hat üzerinde bulunan HV-101 tag numaralı proses kontrol vanasının mekaniksel olarak kapalı kalması hatası sonucu hem DN300-WG.01-052-SS line numaralı hatta basınçlanma görülür hem de C101 absorpsiyon kolonundan T-101 - T-104 tag numaralı evaporatöre doğru basınçlandırması ile yangın ve patlama riski</t>
  </si>
  <si>
    <t xml:space="preserve">DN300-WG.01-052-SS line numaralı hat üzerinde PT-103 tag numaralı basınç transmitteri mevcuttur. Hat üzerinde basınç algılaması durumunda birincil emniyette PLC üzerinden otomatik olarak tesisi shut downa götürmektedir. İkincil emniyet devresinde PLC üzerinden sesli ve görsel alarm üzerine operatör tarafından acil stop butonuna basarak tesis trip ettirilir.</t>
  </si>
  <si>
    <t xml:space="preserve">A-147</t>
  </si>
  <si>
    <t xml:space="preserve">65, 66</t>
  </si>
  <si>
    <t xml:space="preserve">T-109 tag numaralı eşanjör hatası</t>
  </si>
  <si>
    <t xml:space="preserve">T-109 tag numaralı eşanjör hatası sonucu gazın nemli olarak R-102'ye gitmesi ile R-102 yakma odasında yanma gerçekleştirilemez toksik gaz atmosfere verilmesi sonucu çevresel kirlilik riski</t>
  </si>
  <si>
    <t xml:space="preserve">R-102 gaz yakma kulesi üzerine bulunan sıcaklık transmitterlerinden birine kritik alt sıcaklık set edilerek (yanmanın gerçekleşemeyeceği kadar düşük sıcaklık belirlenmelidir) PLC üzerinden otomatik olarak tesisi shut downa götürecektir.</t>
  </si>
  <si>
    <t xml:space="preserve">A-148</t>
  </si>
  <si>
    <t xml:space="preserve">TE-130 tag numaralı sıcaklık transmitterine kritik alt sıcaklık set edilerek düşük sıcaklık algılaması sonucu PLC üzerinden sesli ve görsel alarm üzerine operatör taarfından acil stopa basılarak tesis trip ettirilir.</t>
  </si>
  <si>
    <t xml:space="preserve">A-149</t>
  </si>
  <si>
    <t xml:space="preserve">Operatör tarafından 502-FA tag numaralı tankın BV-6147 tag numaralı numune/dreyn vanasının açık bırakılması hatası
(Gümüş Tesisinden Formaldehit Tanklarına Transfer)</t>
  </si>
  <si>
    <t xml:space="preserve">Operatör tarafından 502-FA tag numaralı tankın BV-6147 tag numaralı numune/dreyn vanasının açık bırakılması hatası sonucu 502-FA tag numaralı tanktan kimyasal sızıntısı ile çevreye yayılma sonucu çevresel kirlilik riski veya yangın ve patlama riski veya toksik yayılım ve kimyasal</t>
  </si>
  <si>
    <t xml:space="preserve">502-FA tag numaralı tankın BV-6147 tag numaralı numune/dreyn vanasına switch box konularak kendi kontrol panosu (röle) üzerinden sesli ve ışıklı alarm vererek operatör tarafından dreyn vananın kapatılması sağlanır.</t>
  </si>
  <si>
    <t xml:space="preserve">A-150</t>
  </si>
  <si>
    <t xml:space="preserve">XXXXXX tag numaralı tank sahasında bulunan dike alanına konulacak olan XXXXXX tag numaralı yağ algılama sensöründen sızıntı, taşma veya döküntüyü algılayarak PLC üzerinden sesli ve ışıklı alarm vererek operatör tarafından komşu tesis ile iletişime geçilecek ve komşu tesis pompasının kapatılması sağlanacaktır.</t>
  </si>
  <si>
    <t xml:space="preserve">A-151</t>
  </si>
  <si>
    <t xml:space="preserve">XXXXXX tag numaralı tankın bulunduğu alana konulacak olan XXXXXX tag numaralı LEL dedektörleri sızıntıyı algılayarak PLC üzerinden sesli ve ışıklı alarm vererek operatör tarafından komşu tesis ile iletişime geçilecek ve komşu tesis pompasının kapatılması sağlanacaktır.</t>
  </si>
  <si>
    <t xml:space="preserve">A-152</t>
  </si>
  <si>
    <t xml:space="preserve">BV-6147 tag numaralı numune/dreyn vanasına dead man vana ile değiştirilecektir veya endüstriyel tesislerde kullanılan kapalı tip numune cihazları kullanılacaktır.</t>
  </si>
  <si>
    <t xml:space="preserve">A-153</t>
  </si>
  <si>
    <t xml:space="preserve">1, 4, 5, 6, 12</t>
  </si>
  <si>
    <t xml:space="preserve">502-FA tankı etrafında taşmanın tamamını alacak ve ayrıca 24 yılda yağacak en fazla yağmur suyunu veya itfaiyenin sıkacağı söndürme suyunu alabilecek kapasitede tank havuzu mevcuttur. Sızdırmazlık etkinliği değerlendirilecektir.</t>
  </si>
  <si>
    <t xml:space="preserve">A-154</t>
  </si>
  <si>
    <t xml:space="preserve">2, 3, 4</t>
  </si>
  <si>
    <t xml:space="preserve">XXXXXX tag numaralı manuel vananın operatör tarafından açık bırakılması hatası
(Gümüş Tesisinden Formaldehit Tanklarına Transfer)
Proses koşullarında hep açık olduğu beyan edilmiştir. Vana kolları söküleceği beyanı üzerine çalışılmamıştır.</t>
  </si>
  <si>
    <t xml:space="preserve">XXXXXX tag numaralı manuel vananın operatör tarafından açık bırakılması hatası sonucu diğer bir tank olan XXXXXX tankında seviye yükselmesine bağlı taşma ile çevreye yayılma sonucu çevresel kirlilik riski veya yangın ve patlama riski veya toksik yayılım v</t>
  </si>
  <si>
    <t xml:space="preserve">XXXXXX tag numaralı tankın üzerine konulacak olan XXXXXX tag numaralı seviye transmitterinden tank içerisinde seviyenin yüksek olduğunu algılaması sonucu PLC üzerinden sesli ve ışıklı alarm vererek operatör tarafından komşu tesis ile iletişime geçilir ve komşu tesis pompasının kapatılması sağlanacaktır.</t>
  </si>
  <si>
    <t xml:space="preserve">A-155</t>
  </si>
  <si>
    <t xml:space="preserve">XXXXXX tag numaralı tank sahasına konulacak gaz dedektörlerinden olası bir döküntü/taşma meydana gelmesi durumunda LEL seviyesinin üzerinde bir yayılım algılanınca PLC üzerinden sesli ve ışıklı alarm vererek operatör tarafından komşu tesis ile iletişime geçilir ve komşu tesis pompasının kapatılması sağlanacaktır.</t>
  </si>
  <si>
    <t xml:space="preserve">A-156</t>
  </si>
  <si>
    <t xml:space="preserve">XXXXXX tag numaralı tank sahasında bulunan dike alanına konulacak olan XXXXXX tag numaralı yağ algılama sensöründen sızıntı, taşma veya döküntüyü algılayarak PLC üzerinden sesli ve ışıklı alarm vererek operatör tarafından komşu tesis ile iletişime geçilir ve komşu tesis pompasının kapatılması sağlanacaktır.</t>
  </si>
  <si>
    <t xml:space="preserve">A-157</t>
  </si>
  <si>
    <t xml:space="preserve">XXXXXX tag numaralı tank etrafında bulunan taşma havuzunda yangın olması durumunda tüm dike sahasını köpükle kaplama/örtme kabiliyetine sahip yangın köpük sistemi konulacaktır. Tank sahasına köpük besleme yapacak XXXXXX tag numaralı tank köpük vanaları ile dike köpük dökücü ve tank sprinklerinden ve mobil monitörlerle köpük ile yangına müdahale edilecektir. XXXXXX tag numaralı alev dedektörlerinden algılayarak sinyal üzerine operatör tarafından açılacak ve köpük beslemesi yapılacaktır.</t>
  </si>
  <si>
    <t xml:space="preserve">A-158</t>
  </si>
  <si>
    <t xml:space="preserve">2, 3</t>
  </si>
  <si>
    <t xml:space="preserve">XXXXXX tag numaralı tankın üzerine konulacak olan XXXXXX SIL sertifikalı seviye transmitteri/çatal tipli seviye sivicinden tankın içerisinde yüksek seviye olmasını algılaması sonucu LAHH alarmı üzerinde safety PLC üzerinden XXXXXX tag numaralı SIL sertifi</t>
  </si>
  <si>
    <t xml:space="preserve">A-159</t>
  </si>
  <si>
    <t xml:space="preserve">XXXXXX tag numaralı tank etrafında taşmanın tamamını alacak kapasitede tank havuzu yapılacaktır.</t>
  </si>
  <si>
    <t xml:space="preserve">A-160</t>
  </si>
  <si>
    <t xml:space="preserve">XXXXXX tag numaralı tank etrafında taşmanın tamamını alacak ve ayrıca 24 yılda yağacak en fazla yağmur suyunu veya itfaiyenin sıkacağı söndürme suyunu alabilecek kapasitede tank havuzu yapılacaktır.</t>
  </si>
  <si>
    <t xml:space="preserve">A-161</t>
  </si>
  <si>
    <t xml:space="preserve">XXXXXX tag numaralı manuel vanalara EKED/LOTO uygulanmadan komşu tesis pompası çalıştırılmayacaktır.</t>
  </si>
  <si>
    <t xml:space="preserve">A-162</t>
  </si>
  <si>
    <t xml:space="preserve">1, 4, 5, 6</t>
  </si>
  <si>
    <t xml:space="preserve">XV-601 veya XV-656 tag numaralı proses kontrol vanasının mekaniksel olarak açık kalması hatası
(Gümüş Tesisinden Formaldehit Tanklarına Transfer)</t>
  </si>
  <si>
    <t xml:space="preserve">XV-601 veya XV-656 tag numaralı proses kontrol vanasının mekaniksel olarak açık kalması hatası sonucu diğer bir tank olan 502-FA tag numaralı tankta seviye yükselmesine bağlı taşma ile çevreye yayılma sonucu çevresel kirlilik riski veya yangın ve patlama riski veya toksik yayılım</t>
  </si>
  <si>
    <t xml:space="preserve">502-FA tankı üzerinde bulunan SIL2 sertifikalı LS-615 tag numaralı seviye switchinden tankın içerisinde yüksek seviye olmasını algılaması sonucu LSHHalarmı üzerinde safety röle üzerinden P-810 ve P-811 tag numaralı pomapalara konulacak olan PLd kontaktörden kapatılacaktır.</t>
  </si>
  <si>
    <t xml:space="preserve">A-163</t>
  </si>
  <si>
    <t xml:space="preserve">Oksit tesisinde (metanol tank sahası, T101-T-104 ve T-102 eşanjör alanı, R-101 reaktör alanı ve C-101 absorbsiyon alanı ve gaz yakma ünitesi) deprem oluşumu sonucu hasarlanma
**İlgili senaryo Polisan Kimya HAZOP ekibi tarafından gözden geçirilecektir.</t>
  </si>
  <si>
    <t xml:space="preserve">Oksit tesisinde (metanol tank sahası, T101-T-104 ve T-102 eşanjör alanı, R-101 reaktör alanı ve C-101 absorbsiyon alanı ve gaz yakma ünitesi) deprem oluşumu sonucu hasarlanma nedeni ile tankta bütünlük kaybı sebebiyle sızıntı ile çevreye yayılma sonucu çevresel kirlilik riski veya yangın ve patlama riski veya toksik yayılım ve kimyasal maruziyet riski</t>
  </si>
  <si>
    <t xml:space="preserve">Oksit tesisinde (metanol tank sahası, T101-T-104 ve T-102 eşanjör alanı, R-101 reaktör alanı ve C-101 absorbsiyon alanı ve gaz yakma ünitesi) alanlarında parlama ve yangın riskini önlemek üzere XXX tag numaralı deprem sensörü takılarak PLC üzerinden kritik sistemler hariç (jeneratör, yangın söndürme sistemi, hidrant pompaları, PLC, DCs vb. hariç) yangın ve kıvılcım çıkarma ihtimali olan ekipman veya cihazların enerjisi otomatik kesilecektir.</t>
  </si>
  <si>
    <t xml:space="preserve">A-164</t>
  </si>
  <si>
    <t xml:space="preserve">Oksit tesisinde (metanol tank sahası, T101-T-104 ve T-102 eşanjör alanı, R-101 reaktör alanı ve C-101 absorbsiyon alanı ve gaz yakma ünitesi) sabotaj yapılması ile hasarlanma
**İlgili senaryo Polisan Kimya HAZOP ekibi tarafından gözden geçirilecektir.</t>
  </si>
  <si>
    <t xml:space="preserve">Oksit tesisinde (metanol tank sahası, T101-T-104 ve T-102 eşanjör alanı, R-101 reaktör alanı ve C-101 absorbsiyon alanı ve gaz yakma ünitesi) sabotaj yapılması ile hasarlanma sonucu ekipmanda bütünlük kaybı sebebiyle sızıntı ile çevreye yayılma sonucu çevresel kirlilik riski veya yangın ve patlama riski veya toksik yayılım ve kimyasal maruziyet riski</t>
  </si>
  <si>
    <t xml:space="preserve">Tesisin tamamını çevreleyecek şekilde tel örgü çit mevcuttur. Yabancı kişilerin girişini engelleyecek şekilde dizayn edilecektir.</t>
  </si>
  <si>
    <t xml:space="preserve">A-165</t>
  </si>
  <si>
    <t xml:space="preserve">45</t>
  </si>
  <si>
    <t xml:space="preserve">Tankere dolum yapılırken operatör tarafından tankerin hareket ettirilmesi hatası ile boru bağlantısından kopması hatası</t>
  </si>
  <si>
    <t xml:space="preserve">Tankere dolum yapılırken operatör tarafından tankerin hareket ettirilmesi hatası ile boru bağlantısından kopması hatası sonucu ile çevreye yayılma sonucu çevresel kirlilik riski veya yangın ve patlama riski veya toksik yayılım riski</t>
  </si>
  <si>
    <t xml:space="preserve">Tankere dolum esnasında tanker bağlantısının kopması durumunda sızıntı olmaması için ayrılma kaplini (Break Away Coupling) kullanılmaktadır.</t>
  </si>
  <si>
    <t xml:space="preserve">A-166</t>
  </si>
  <si>
    <t xml:space="preserve">8, 9, 10, 11</t>
  </si>
  <si>
    <t xml:space="preserve">P-811 tag numaralı pompa basarken BFV-821, BV-8109, BV-8110, BV-8055, BV-8056 veya BV-6151 tag numaralı manuel vananın mekaniksel olarak kapalı kalması hatası
(Gümüş Tesisinden Formaldehit Tanklarına Transfer)</t>
  </si>
  <si>
    <t xml:space="preserve">P-811 tag numaralı pompa basarken BFV-821, BV-8109, BV-8110, BV-8055, BV-8056 veya BV-6151 tag numaralı manuel vananın mekaniksel olarak kapalı kalması hatası sonucu DN50-FA.08-012-SS, DN50-FA.08-010-SS, DN50-FA.08-002-SS  line numaralı hatta sızıntı ile çevreye yayılma sonucu çevresel kirlilik riski veya yangın ve patlama riski veya toksik yayılım ve</t>
  </si>
  <si>
    <t xml:space="preserve">DN50-FA.08-010-SS line numaralı hat üzerinde bulunan FT-809 tag numaralı akış transmiterinden/sivicinden hatta akış durduğunda akışın olmadığını algılayarak PLC üzerinden sesli ve ışıklı alarm vererek operatör tarafından pompaların şalterden enerjisi kesilerek kapatılacaktır.</t>
  </si>
  <si>
    <t xml:space="preserve">A-167</t>
  </si>
  <si>
    <t xml:space="preserve">Gümüş tesisi'nde ADR tank sahası arasında bulunan boru hatları altına drenaj kanalları oluşturulacaktır ve drenaj 800kg/10dk'lık döküntüyü karşılayacak kapasitede yapılacaktır.</t>
  </si>
  <si>
    <t xml:space="preserve">A-168</t>
  </si>
  <si>
    <t xml:space="preserve">Formaldehit tankları arası transfer esnasında statik elektrik oluşumu
(FA-501 Tankından FA-201 Tankına Transfer)</t>
  </si>
  <si>
    <t xml:space="preserve">Formaldehit tankları arası transfer yapılırken statik elektrik deşarjı oluşumu hatası sonucu 502-FA tag numaralı tankta seviye düşük iken tanka besleme sırasında statik elektriklenme oluşması ile yangın ve patlama riski.</t>
  </si>
  <si>
    <t xml:space="preserve">XXXXXX line numaralı hat üzerinde konulacak olan XXXXXX tag numaralı akış transmiterinden fazla akışı algılaması sonucu PLC üzerinden otomatik olarak XXXXXX tag numaralı pompa kontaktörden enerjisi kesilerek durdurulacaktır. (2.1.IPL)</t>
  </si>
  <si>
    <t xml:space="preserve">A-169</t>
  </si>
  <si>
    <t xml:space="preserve">XXXXXX line numaralı hat üzerinde konulacak olan XXXXXX tag numaralı akış transmiterinden fazla akışı algılaması sonucu PLC üzerinden sesli ve ışıklı alarm vererek operatör tarafından XXXXXX tag numaralı pompa şalterden enerjisi kesilerek durdurulacaktır.</t>
  </si>
  <si>
    <t xml:space="preserve">A-170</t>
  </si>
  <si>
    <t xml:space="preserve">7, 13</t>
  </si>
  <si>
    <t xml:space="preserve">FA-502 tag numaralı tanka besleme yapan P-810 veya P-811 tag numaralı pompalarının besleme debileri IEC 60079-32-1 standartına uygun şekilde sınırlandırılmıştır. Doğrusal akış hızı hiçbir zaman 7 m/s'yi aşmamalıdır. Düşük iletkenlikli sıvıların kısa (N=1), sabit yatay eksenli tanklara 40'lık borularla yüklenmesi için hız ve dolum oranı sınırları 60079-32-1 7.3.2.3.5.3 sabit tanklar için limitlere göre hesaplanmış ve Tablo 10’da belirtilen limit değerleri aşmadığı raporlanmıştır. Pompa debileri h</t>
  </si>
  <si>
    <t xml:space="preserve">A-171</t>
  </si>
  <si>
    <t xml:space="preserve">502-FA tag numaralı tankta sıvı beslemesi statik elektrik oluşmaması için tank cidarina çarptırma ve süzülerek besleme ya da deep piping yapılmaktadır.</t>
  </si>
  <si>
    <t xml:space="preserve">A-172</t>
  </si>
  <si>
    <t xml:space="preserve">14, 28</t>
  </si>
  <si>
    <t xml:space="preserve">Operatör tarafından FA-201 tag nolu tankınının BV-6305 tag numaralı numune/dreyn vanasının açık bırakılması hatası
(FA-501 Tankından FA-201 Tankına Transfer)</t>
  </si>
  <si>
    <t xml:space="preserve">Operatör tarafından FA-201 tag nolu tankınının BV-6305 tag numaralı numune/dreyn vanasının açık bırakılması hatası sonucu tanktan kimyasal sızıntısı ile çevreye yayılma sonucu çevresel kirlilik riski veya yangın ve patlama riski veya toksik yayılım ve kimyasal maruziyet riski</t>
  </si>
  <si>
    <t xml:space="preserve">XXXXXX tag numaralı tankın üzerine konulacak olan XXXXXX tag numaralı seviye transmiterinden/sivicinden düşük seviyeyi algılaması sonucu PLC üzerinden otomatik olarak XXXXXX tag numaralı pompa durdurulacaktır.</t>
  </si>
  <si>
    <t xml:space="preserve">A-173</t>
  </si>
  <si>
    <t xml:space="preserve">XXXXXX tag numaralı tank sahasın</t>
  </si>
  <si>
    <t xml:space="preserve">A-174</t>
  </si>
  <si>
    <t xml:space="preserve">XXXXXX tag numaralı tankın üzerine konulacak olan XXXXXX tag numaralı seviye transmiterinden/sivicinden düşük seviyeyi algılaması sonucu PLC üzerinden sesli ve ışıklı alarm vererek operatör tarafından XXXXXX tag numaralı vanalar kapatılacaktır.</t>
  </si>
  <si>
    <t xml:space="preserve">A-175</t>
  </si>
  <si>
    <t xml:space="preserve">XXXXXX tag numaralı tank sahasında bulunan dike alanına konulacak olan XXXXXX tag numaralı yağ algılama sensöründen sızıntı, taşma veya döküntüyü algılayarak PLC üzerinden sesli ve ışıklı alarm vererek operatör tarafından XXXXXX tag numaralı vanalar kapatılacaktır.</t>
  </si>
  <si>
    <t xml:space="preserve">A-176</t>
  </si>
  <si>
    <t xml:space="preserve">XXXXXX tag numaralı tankın bulunduğu alana konulacak olan XXXXXX tag numaralı LEL dedektörleri sızıntıyı algılayarak PLC üzerinden sesli ve ışıklı alarm vererek operatör tarafından XXXXXX tag numaralı vanalar kapatılacaktır.</t>
  </si>
  <si>
    <t xml:space="preserve">A-177</t>
  </si>
  <si>
    <t xml:space="preserve">XXXXXX tag numaralı dreyn vanası dead man vana ile değiştirilecektir.</t>
  </si>
  <si>
    <t xml:space="preserve">A-178</t>
  </si>
  <si>
    <t xml:space="preserve">XXXXXX tag numaralı dreyn vanasına LOTO/EKED uygulaması yapılacaktır.</t>
  </si>
  <si>
    <t xml:space="preserve">A-179</t>
  </si>
  <si>
    <t xml:space="preserve">15, 16, 17, 18</t>
  </si>
  <si>
    <t xml:space="preserve">P-615 tag numaralı pompa basarken BV-6127 tag numaralı manuel vananın operatör tarafından kapalı bırakılması hatası
(FA-501 Tankından FA-201 Tankına Transfer)</t>
  </si>
  <si>
    <t xml:space="preserve">P-615 tag numaralı pompa basarken BV-6127 tag numaralı manuel vananın operatör tarafından kapalı bırakılması hatası sonucu  DN80-FA.06-210-SS, DN80-FA.06-206-SS line numaralı hatta sızıntı ile çevreye yayılma sonucu çevresel kirlilik riski veya yangın ve patlama riski veya toksik yay</t>
  </si>
  <si>
    <t xml:space="preserve">ADR tank sahası etrafında taşmanın tamamını alacak ve ayrıca 24 yılda yağacak en fazla yağmur suyunu veya itfaiyenin sıkacağı söndürme suyunu alabilecek kapasitede tank havuzu mevcuttur. Sızdırmazlık etkinliği değerlendirilecektir.</t>
  </si>
  <si>
    <t xml:space="preserve">A-180</t>
  </si>
  <si>
    <t xml:space="preserve">19, 20, 21, 22</t>
  </si>
  <si>
    <t xml:space="preserve">P-615 tag numaralı pompa emme yaparken F-623 tag numaralı filtrenin tıkanma hatası
(FA-501 Tankından FA-201 Tankına Transfer)</t>
  </si>
  <si>
    <t xml:space="preserve">P-615 tag numaralı pompa emme yaparken F-623 tag numaralı filtrenin tıkanma hatası sonucu P-615 tag numaralı pompanın kuru çalışması sonucu pompada kavitasyon ve yangın riski veya ekipmanda deformasyon riski</t>
  </si>
  <si>
    <t xml:space="preserve">DN80-FA.06-210 line numaralı hat üzerinde mevcut olan PT-607 tag numaralı basınç transmitterinden basıncın olmadığını algılayarak PLC üzerinden sesli ve görsel alarm üreterek operatör tarafından P-615 tag numaralı pompanın enerjisi şalterden enerjisi kesilerek kapatılacaktır.</t>
  </si>
  <si>
    <t xml:space="preserve">A-181</t>
  </si>
  <si>
    <t xml:space="preserve">P-615 tag numaralı pompada kuru çalışma koruma rölesi konulacaktır. Elektromekanik cihaz, sistemdeki basıncın varlığını kontrol eder. Basınç eşiğin altına düşer düşmez güç devresi kesilir, pompa çalışmayı durdurur.</t>
  </si>
  <si>
    <t xml:space="preserve">A-182</t>
  </si>
  <si>
    <t xml:space="preserve">23, 24, 25, 26, 27</t>
  </si>
  <si>
    <t xml:space="preserve">LT-609 tag numaralı seviye transmiteri hatası
(FA-502 Tankından FA-201 Tankına Transfer)</t>
  </si>
  <si>
    <t xml:space="preserve">LT-609 tag numaralı seviye transmiteri hatasısonucu FA-201 tankında seviye yükselmesine bağlı taşma ile çevreye yayılma sonucu çevresel kirlilik riski veya yangın ve patlama riski veya toksik yayılım ve kimyasal maruziyet riski</t>
  </si>
  <si>
    <t xml:space="preserve">201-FA tankı üzerinde bulunan SIL2 sertifikalı LS-617 tag numaralı seviye switchinden tankın içerisinde yüksek seviye olmasını algılaması sonucu LSHH alarmı üzerinde safety röle üzerinden P-615 tag numaralı pomapalara konulacak olan PLd kontaktörden kapatılacaktır.</t>
  </si>
  <si>
    <t xml:space="preserve">A-183</t>
  </si>
  <si>
    <t xml:space="preserve">201-FA tankı etrafında taşmanın tamamını alacak ve ayrıca 24 yılda yağacak en fazla yağmur suyunu veya itfaiyenin sıkacağı söndürme suyunu alabilecek kapasitede tank havuzu mevcuttur. Sızdırmazlık etkinliği değerlendirilecektir.</t>
  </si>
  <si>
    <t xml:space="preserve">A-184</t>
  </si>
  <si>
    <t xml:space="preserve">29, 33, 34</t>
  </si>
  <si>
    <t xml:space="preserve">P-614 tag numaralı pompa basarken XXXXXX tag numaralı proses kontrol vanasının mekaniksel olarak kapalı kalması
(201-FA Tankından Tankere Transfer)</t>
  </si>
  <si>
    <t xml:space="preserve">P-614 tag numaralı pompa basarken XXXXXX tag numaralı proses kontrol vanasının mekaniksel olarak kapalı kalması hatası sonucu  XXXXXXX line numaralı hatta sızıntı ile çevreye yayılma sonucu çevresel kirlilik riski veya yangın ve patlama riski veya toksik</t>
  </si>
  <si>
    <t xml:space="preserve">XXXXXX line numaralı hat üzerine takılacak olan XXXXXX tag numaralı akış transmiterinden/sivicinden akışın olmadığını algılayarak PLC üzerinden otomatik olarak XXXXXX tag numaralı pompa durdurulacaktır. (2.1. IPL)
XXXXXX line numaralı hat üzerine tak</t>
  </si>
  <si>
    <t xml:space="preserve">A-185</t>
  </si>
  <si>
    <t xml:space="preserve">29, 37</t>
  </si>
  <si>
    <t xml:space="preserve">XXXXXX tag numaralı proses kontrol vanası üzerinde pozisyoner konulacaktır. Vananın açık/kapalı pozisyonu PLC üzerinden takip edilerek alarm üzerine operatör tarafından XXXXXX tag numaralı pompa durdurulacaktır.</t>
  </si>
  <si>
    <t xml:space="preserve">A-186</t>
  </si>
  <si>
    <t xml:space="preserve">XXXXXX line numaralı hat üzerine takılacak olan XXXXXX tag numaralı akış transmiterinden/sivicinden hatta akışın olmadığını algılayarak PLC üzerinden sesli ve ışıklı alarm vererek operatör tarafından XXXXXX tag numaralı pompa durdurulacaktır.</t>
  </si>
  <si>
    <t xml:space="preserve">A-187</t>
  </si>
  <si>
    <t xml:space="preserve">XXXXXX line numaralı hat üzerine takılacak olan XXXXXX tag numaralı basınç transmiterinden/sivicinden fazla basıncı algılayarak PLC üzerinden sesli ve ışıklı alarm vererek operatör tarafından XXXXXX tag numaralı pompa durdurulacaktır.</t>
  </si>
  <si>
    <t xml:space="preserve">A-188</t>
  </si>
  <si>
    <t xml:space="preserve">XXXXXX tag numaralı pompa basmasına rağmen XXXXXX tag numaralı tankın üzerine takılacak olan XXXXXX tag numaralı seviye transmiterinden seviyenin değişmediği ile ilgili PLC üzerinden sesli ve ışıklı alarm vererek operatör tarafından XXXXXX tag numaralı pompa durdurulmaktadır.</t>
  </si>
  <si>
    <t xml:space="preserve">A-189</t>
  </si>
  <si>
    <t xml:space="preserve">XXXXXX tag numaralı tankın bulunduğu alana takılacak olan XXXXXX gaz dedektöründen olası bir döküntü meydana gelmesi durumunda LEL seviyesinin üzerinde bir yayılım algılaması sonucu PLC üzerinden sesli ve ışıklı alarm vererek operatör tarafından XXXXXX tag numaralı pompa kapatılacaktır.</t>
  </si>
  <si>
    <t xml:space="preserve">A-190</t>
  </si>
  <si>
    <t xml:space="preserve">XXXXXX tag numaralı tank sahasında bulunan dike alanına takılacak olan XXXXXX tag numaralı yağ algılama sensöründen sızıntı, taşma veya döküntüyü algılayarak PLC üzerinden sesli ve ışıklı alarm vererek operatör tarafından XXXXXX tag numaralı pompa kapatılacaktır.</t>
  </si>
  <si>
    <t xml:space="preserve">A-191</t>
  </si>
  <si>
    <t xml:space="preserve">Pompa dairesinde biriken döküntü pompa dairesinden XXXXXX tag numaralı pompa ile IBC'lere çekilerek bertarafa gönderilecektir.</t>
  </si>
  <si>
    <t xml:space="preserve">A-192</t>
  </si>
  <si>
    <t xml:space="preserve">XXXXXX line numaralı hattaki flanş bağlantılarından kaçak olmaması için sertifikalı conta kullanımı, tork metre kullanarak torkunda flanş somunlarının sıkılması, olası flanş kaçağını azaltmak için flanş kelepçesi ve battaniyesi kullanılacaktır.</t>
  </si>
  <si>
    <t xml:space="preserve">A-193</t>
  </si>
  <si>
    <t xml:space="preserve">XXXXXX tag numaralı pompanın etrafında döküntü olması durumunda etrafı dökülme/absorban kiti ve sosislerle (spill kit) çevrilerek ve emdirilerek bertarafa gönderilecektir.</t>
  </si>
  <si>
    <t xml:space="preserve">A-194</t>
  </si>
  <si>
    <t xml:space="preserve">XXXXXX tag numaralı pompanın basma hattından emiş hattına doğru bypass boru hattı ile basınç emniyet ventili konulacaktır, basınçlanma olması durumunda basınç emniyet ventili açarak kimyasalın devri daim yapması sağlanacaktır.</t>
  </si>
  <si>
    <t xml:space="preserve">A-195</t>
  </si>
  <si>
    <t xml:space="preserve">XXXXXX tag numaralı pompası çıkışı üzerine TRV konulacaktır.</t>
  </si>
  <si>
    <t xml:space="preserve">A-196</t>
  </si>
  <si>
    <t xml:space="preserve">Sızıntı oluşacak XXXXXX line numaralı boru hatlarındaki flanşlar döküntü havuzu içerisine alınacaktır.</t>
  </si>
  <si>
    <t xml:space="preserve">A-197</t>
  </si>
  <si>
    <t xml:space="preserve">XXXXXX line numaralı boru hatlarından olası döküntünün toplanabileceği taşma havuzu/ drenaj yapılacaktır.</t>
  </si>
  <si>
    <t xml:space="preserve">A-198</t>
  </si>
  <si>
    <t xml:space="preserve">XXXXXX bar'a set edilmiş XXXXXX tag numaralı emniyet ventili konulacaktır.</t>
  </si>
  <si>
    <t xml:space="preserve">A-199</t>
  </si>
  <si>
    <t xml:space="preserve">XXXXXX tag numaralı pompanın üzerinde PTC motor sıcaklık sensörü konulacaktır. Kumanda devresi üzerinden pompa otomatik durdurulacaktır.</t>
  </si>
  <si>
    <t xml:space="preserve">A-200</t>
  </si>
  <si>
    <t xml:space="preserve">XXXXXX tag numaralı pompaya frekans konventörü konulacak ve faz akım ölçer kontrol kartından algılayıp driver durdurulacaktır. (Faz Akım Koruma)</t>
  </si>
  <si>
    <t xml:space="preserve">A-201</t>
  </si>
  <si>
    <t xml:space="preserve">33, 34</t>
  </si>
  <si>
    <t xml:space="preserve">XXXXXX tag numaralı pompa basarken XXXXXX tag numaralı manuel vananın mekaniksel olarak kapalı kalması hatası
(Tanktan Tankere Dolum)</t>
  </si>
  <si>
    <t xml:space="preserve">XXXXXX tag numaralı pompa basarken XXXXXX tag numaralı manuel vananın mekaniksel olarak kapalı kalması hatası sonucu  XXXXXXX line numaralı hatta sızıntı ile çevreye yayılma sonucu çevresel kirlilik riski veya yangın ve patlama riski veya toksik yayılım v</t>
  </si>
  <si>
    <t xml:space="preserve">XXXXXX tag numaralı manuel vanalara EKED/LOTO uygulanmadan XXXXXX tag numaralı pompa çalıştırılmayacaktır.</t>
  </si>
  <si>
    <t xml:space="preserve">A-202</t>
  </si>
  <si>
    <t xml:space="preserve">35, 36, 37, 38</t>
  </si>
  <si>
    <t xml:space="preserve">XXXXXX tag numaralı pompa emme yaparken XXXXXX tag numaralı filtrenin tıkanma hatası
(Tanktan Tankere Dolum)</t>
  </si>
  <si>
    <t xml:space="preserve">XXXXXX tag numaralı pompa emme yaparken XXXXXX tag numaralı filtrenin tıkanma hatası sonucu XXXXXX tag numaralı pompanın kuru çalışması sonucu pompada kavitasyon ve yangın riski veya ekipmanda deformasyon riski</t>
  </si>
  <si>
    <t xml:space="preserve">XXXXXX line numaralı hat üzerine konulacak olan XXXXXX tag numaralı akış transmiterinden/sivicinden akışın olmadığını algılayarak PLC üzerinden otomatik olarak XXXXXX tag numaralı pompa durdurulacaktır. (2.1. IPL)
XXXXXX line numaralı hat üzerine kon</t>
  </si>
  <si>
    <t xml:space="preserve">A-203</t>
  </si>
  <si>
    <t xml:space="preserve">XXXXXX line numaralı hat üzerinde bulunan XXXXXX tag numaralı akış transmiterinden/sivicinden hatta akışın olmadığını algılayarak PLC üzerinden sesli ve ışıklı alarm vererek operatör tarafından XXXXXX tag numaralı pompa durdurulmaktadır.</t>
  </si>
  <si>
    <t xml:space="preserve">A-204</t>
  </si>
  <si>
    <t xml:space="preserve">XXXXXX line numaralı hat üzerinde bulunan XXXXXX tag numaralı basınç transmiterinden/sivicinden basıncın olmadığını algılayarak PLC üzerinden sesli ve ışıklı alarm vererek operatör tarafından XXXXXX tag numaralı pompa durdurulmaktadır.</t>
  </si>
  <si>
    <t xml:space="preserve">A-205</t>
  </si>
  <si>
    <t xml:space="preserve">XXXXXX tag numaralı pompa basmasına rağmen XXXXXX tag numaralı seviye transmiterinden seviyenin değişmediği ile ilgili PLC üzerinden sesli ve ışıklı alarm vererek operatör tarafından XXXXXX tag numaralı pompa durdurulmaktadır.</t>
  </si>
  <si>
    <t xml:space="preserve">A-206</t>
  </si>
  <si>
    <t xml:space="preserve">XXXXXX tag numaralı pompanın kontrol panosunda alçak akım rölesi koruması konulacaktır, bu koruma ile susuz kalan pompa iş göremediğinde düşük akım çeker ve ilgili elektronik devre pompayı durduracaktır.</t>
  </si>
  <si>
    <t xml:space="preserve">A-207</t>
  </si>
  <si>
    <t xml:space="preserve">XXXXXX tag numaralı pompanın üzerinde PTC motor sıcaklık sensörü konulacaktır. Kumanda devresi üzerinden pompa otomatik durduracaktır.</t>
  </si>
  <si>
    <t xml:space="preserve">A-208</t>
  </si>
  <si>
    <t xml:space="preserve">XXXXXX tag numaralı pompada kuru çalışma koruma rölesi konulacaktır. Elektromekanik cihaz, sistemdeki basıncın varlığını kontrol eder. Basınç eşiğin altına düşer düşmez güç devresi kesilir, pompa çalışmayı durdurur.</t>
  </si>
  <si>
    <t xml:space="preserve">A-209</t>
  </si>
  <si>
    <t xml:space="preserve">36, 38</t>
  </si>
  <si>
    <t xml:space="preserve">XXXXXX tag numaralı pompa emme yaparken XXXXXX tag numaralı manuel vanasının operatör tarafından kapalı bırakılması hatası
(Tanktan Tankere Dolum)</t>
  </si>
  <si>
    <t xml:space="preserve">XXXXXX tag numaralı pompa emme yaparken XXXXXX tag numaralı manuel vanasının operatör tarafından kapalı bırakılması hatası sonucu XXXXXX tag numaralı pompanın kuru çalışması sonucu pompada kavitasyon ve yangın riski veya ekipmanda deformasyon riski</t>
  </si>
  <si>
    <t xml:space="preserve">XXXXXX tag numaralı manuel vanalara EKED/LOTO uygulanmadan XXXXXX tag numaralı pompa çalıştırılmamaktadır.</t>
  </si>
  <si>
    <t xml:space="preserve">A-210</t>
  </si>
  <si>
    <t xml:space="preserve">40, 43</t>
  </si>
  <si>
    <t xml:space="preserve">Tanktan tankere transfer esnasında P-614 tag numaralı pompanın kapatma hatası</t>
  </si>
  <si>
    <t xml:space="preserve">Tanktan tankere transfer esnasında P-614 tag numaralı pompanın kapatma hatası sonucu tankerde basınç artışı ile sızıntı; yangın, patlama ve toksik yayılım ile çevresel kirlilik riski.</t>
  </si>
  <si>
    <t xml:space="preserve">Tesise gelen tankların ADR kapsamında olup emniyet ventili bulundurmaları zorunlu olacaktır, uygun olmadığı tespit edilen tankerler kabul edilmeyecektir.</t>
  </si>
  <si>
    <t xml:space="preserve">A-211</t>
  </si>
  <si>
    <t xml:space="preserve">43</t>
  </si>
  <si>
    <t xml:space="preserve">XXXXXX line numaralı gaz geri dönüş hattında bulunan XXXXXX tag numaralı çek vananın kapalı konumda kalması</t>
  </si>
  <si>
    <t xml:space="preserve">XXXXXX line numaralı gaz geri dönüş hattında bulunan XXXXXX tag numaralı çek vananın kapalı konumda kalması sonucu tankerde basınç artışı ile sızıntı; yangın, patlama ve toksik yayılım ile çevresel kirlilik riski.</t>
  </si>
  <si>
    <t xml:space="preserve">Tanktan gemiye transfer alanında bulunacak olan XXXXXX tag numaralı gaz dedektöründen olası bir döküntü/taşma meydana gelmesi durumunda LEL seviyesinin üzerinde bir yayılım algılayarak PLC üzerinden otomatik olarak XXXXXX tag numaralı pompa durdurulacaktı</t>
  </si>
  <si>
    <t xml:space="preserve">A-212</t>
  </si>
  <si>
    <t xml:space="preserve">Tanktan tankere transfer alanında bulunacak olan XXXXXX tag numaralı gaz dedektöründen olası bir döküntü/taşma meydana gelmesi durumunda LEL seviyesinin üzerinde bir yayılım algılanınca PLC üzerinden sesli ve ışıklı alarm verere operatör tarafından XXXXXX tag numaralı pompayı kapatılacaktır.</t>
  </si>
  <si>
    <t xml:space="preserve">A-213</t>
  </si>
  <si>
    <t xml:space="preserve">Tanktan tankere transfer alanında bulunacak olan XXXXXX tag numaralı yağ algılama sensöründen sızıntı, taşma veya döküntüyü algılayarak PLC üzerinden sesli ve ışıklı alarm vererek operatör tarafından XXXXXX tag numaralı vana kapatılacaktır.</t>
  </si>
  <si>
    <t xml:space="preserve">A-214</t>
  </si>
  <si>
    <t xml:space="preserve">XXXXXX line numaralı tanktan tankere transfer hattında bulunacak olan XXXXXX tag numaralı basınç/akış transmitteri, basıncın arttığını/akışın olmadığını algılayarak PLC üzerinden sesli ve ışıklı alarm vererek operatör tarafından XXXXXX tag numaralı vana kapatılacaktır.</t>
  </si>
  <si>
    <t xml:space="preserve">A-215</t>
  </si>
  <si>
    <t xml:space="preserve">XXXXXX line numaralı tankerden tanka gaz geri dönüş hattında bulunacak olan XXXXXX tag numaralı basınç/akış transmitteri, basıncın arttığını/akışın olmadığını algılayarak PLC üzerinden sesli ve ışıklı alarm vererek operatör tarafından XXXXXX tag numaralı vana kapatılacaktır.</t>
  </si>
  <si>
    <t xml:space="preserve">A-216</t>
  </si>
  <si>
    <t xml:space="preserve">XXXXXX tag numaralı vananın üzerinde bulunacak olan XXXXXX tag numaralı pozisyoner, vananın kapalı konumda olduğunu algılanınca PLC üzerinden sesli ve ışıklı alarm verere operatör tarafından XXXXXX tag numaralı pompayı kapatılacaktır.</t>
  </si>
  <si>
    <t xml:space="preserve">A-217</t>
  </si>
  <si>
    <t xml:space="preserve">XXXXXX tag numaralı pompanın üzerinde PTC motor sıcaklık sensörü mevcut olacaktır. Kumanda devresi üzerinden pompa otomatik durdurulmaktadır.</t>
  </si>
  <si>
    <t xml:space="preserve">A-218</t>
  </si>
  <si>
    <t xml:space="preserve">XXXXXX tag numaralı pompanın frekans konventöründen faz akım ölçer kontrol kartından algılayıp driver durdurulacaktır. (Faz Akım Koruma)</t>
  </si>
  <si>
    <t xml:space="preserve">A-219</t>
  </si>
  <si>
    <t xml:space="preserve">XXXXXX line numaralı tanktan tankere transfer hattında XXXXXX tag numaralı PSV bulunacaktır. Hatta basınç artması durumunda kimyasal tanka geri gönderilecektir.</t>
  </si>
  <si>
    <t xml:space="preserve">A-220</t>
  </si>
  <si>
    <t xml:space="preserve">44</t>
  </si>
  <si>
    <t xml:space="preserve">Tankere dolum yapılırken statik elektrik deşarjı oluşumu</t>
  </si>
  <si>
    <t xml:space="preserve">Tankere dolum yapılırken statik elektrik deşarjı oluşumu hatası sonucu tanker içerisinde statik elektriklenme oluşması ile yangın ve patlama riski.</t>
  </si>
  <si>
    <t xml:space="preserve">Tankere besleme yapan P-614 tag numaralı pompanın besleme debileri API 2003, NFPA 77, IEC 60079-32 standartına uygun şekilde sınırlandırılacaktır. Boru hattındaki hız standarta göre boru çapı ve debiye göre hesaplanmalıdır. Ayrıca dolum ve boşaltım sonrasında API 2003, NFPA 77, IEC 60079-32 standartlarında belirtilen dinlenme sürelerine de riayet edilmelidir. Pompa debileri hesaplanılan hız değerinin üzerine çıkmayacak şekilde belirlenmelidir. Bu sebeple statik elektrik oluşumu azaltılmalıdır.</t>
  </si>
  <si>
    <t xml:space="preserve">DOKÜMAN VE TEKNİK REFERANS YÖNETİMİ</t>
  </si>
  <si>
    <t xml:space="preserve">DOK_ID</t>
  </si>
  <si>
    <t xml:space="preserve">Doküman_Adı</t>
  </si>
  <si>
    <t xml:space="preserve">Tür</t>
  </si>
  <si>
    <t xml:space="preserve">İlgili_Ekipman</t>
  </si>
  <si>
    <t xml:space="preserve">Tarih</t>
  </si>
  <si>
    <t xml:space="preserve">Dosya_Yolu_veya_Linki</t>
  </si>
  <si>
    <t xml:space="preserve">Hazırlayan</t>
  </si>
  <si>
    <t xml:space="preserve">DOK-001</t>
  </si>
  <si>
    <t xml:space="preserve">Pilot Reaktör Odası Taşınma Maliyet Analizi</t>
  </si>
  <si>
    <t xml:space="preserve">Maliyet Analizi</t>
  </si>
  <si>
    <t xml:space="preserve">Rev.01</t>
  </si>
  <si>
    <t xml:space="preserve">21.09.2026</t>
  </si>
  <si>
    <t xml:space="preserve">POL-MBO-PRT-2026-001_Rev01.xlsx</t>
  </si>
  <si>
    <t xml:space="preserve">Geçerli</t>
  </si>
  <si>
    <t xml:space="preserve">Mekanik Bakım Onarım</t>
  </si>
  <si>
    <t xml:space="preserve">AACE Class 4 maliyet tahmini; elektrik kapsamı eksik</t>
  </si>
  <si>
    <t xml:space="preserve">DOK-002</t>
  </si>
  <si>
    <t xml:space="preserve">Reçine Tesisi Reaktör Acil Durum Drain Sistemi Senaryo Karşılaştırması</t>
  </si>
  <si>
    <t xml:space="preserve">Rev.02</t>
  </si>
  <si>
    <t xml:space="preserve">Eylül 2026</t>
  </si>
  <si>
    <t xml:space="preserve">Mekanik Bakım Onarım Yöneticiliği</t>
  </si>
  <si>
    <t xml:space="preserve">C1/C2 kalem kırılımı eklendi; 150 TL yuvarlama düzeltildi</t>
  </si>
  <si>
    <t xml:space="preserve">DOK-003</t>
  </si>
  <si>
    <t xml:space="preserve">Gümüş Tesisi HAZOP Aksiyon Listesi</t>
  </si>
  <si>
    <t xml:space="preserve">HAZOP Raporu</t>
  </si>
  <si>
    <t xml:space="preserve">619 aksiyon; Gümüş Tesisi kapsamı</t>
  </si>
  <si>
    <t xml:space="preserve">DOK-004</t>
  </si>
  <si>
    <t xml:space="preserve">Polisan Kimya Tank Verileri 2026</t>
  </si>
  <si>
    <t xml:space="preserve">Envanter</t>
  </si>
  <si>
    <t xml:space="preserve">Tüm Tanklar</t>
  </si>
  <si>
    <t xml:space="preserve">2026</t>
  </si>
  <si>
    <t xml:space="preserve">139 tank; 7 sayfa; kontrol tarihleri ve durum bilgisi</t>
  </si>
  <si>
    <t xml:space="preserve">DOK-005</t>
  </si>
  <si>
    <t xml:space="preserve">Mekanik-Elektrik Maliyet Raporu (SAP)</t>
  </si>
  <si>
    <t xml:space="preserve">SAP Mali Rapor</t>
  </si>
  <si>
    <t xml:space="preserve">Ocak-Mart 2025</t>
  </si>
  <si>
    <t xml:space="preserve">585 fatura kaydı; 13 maliyet merkezi; Ocak-Mart 2025</t>
  </si>
  <si>
    <t xml:space="preserve">VERİ KALİTESİ KONTROL RAPORU</t>
  </si>
  <si>
    <t xml:space="preserve">VK_ID</t>
  </si>
  <si>
    <t xml:space="preserve">Kaynak_Dosya</t>
  </si>
  <si>
    <t xml:space="preserve">Sayfa</t>
  </si>
  <si>
    <t xml:space="preserve">Kayıt_Ref</t>
  </si>
  <si>
    <t xml:space="preserve">Sorun_Türü</t>
  </si>
  <si>
    <t xml:space="preserve">Öneri</t>
  </si>
  <si>
    <t xml:space="preserve">VK-001</t>
  </si>
  <si>
    <t xml:space="preserve">Tank Verileri</t>
  </si>
  <si>
    <t xml:space="preserve">SN:3,4,5,6,7,8,9</t>
  </si>
  <si>
    <t xml:space="preserve">Muayene Eksikliği</t>
  </si>
  <si>
    <t xml:space="preserve">7 Formaldehit tankı "Uygun Değil" — sadece in-service raporu var, out-of-service raporu eksik</t>
  </si>
  <si>
    <t xml:space="preserve">Akredite muayene firmasına taşeron yazı gönderilmeli</t>
  </si>
  <si>
    <t xml:space="preserve">VK-002</t>
  </si>
  <si>
    <t xml:space="preserve">SN:11</t>
  </si>
  <si>
    <t xml:space="preserve">Tarih Eksik</t>
  </si>
  <si>
    <t xml:space="preserve">Fenol tankı (T-702) sonraki kontrol tarihi boş; durumu "Uygunsuz"</t>
  </si>
  <si>
    <t xml:space="preserve">Muayene planı ivediyle oluşturulmalı</t>
  </si>
  <si>
    <t xml:space="preserve">VK-003</t>
  </si>
  <si>
    <t xml:space="preserve">SN:14</t>
  </si>
  <si>
    <t xml:space="preserve">Muayene Yapılamadı</t>
  </si>
  <si>
    <t xml:space="preserve">Kondens tankı (T-704) muayenesi korozyon nedeniyle yapılamadı; kumlama boya gerekiyor</t>
  </si>
  <si>
    <t xml:space="preserve">Kumlama-boya iş emri açılmalı; muayene yeniden takvimlendirilmeli</t>
  </si>
  <si>
    <t xml:space="preserve">VK-004</t>
  </si>
  <si>
    <t xml:space="preserve">SN:16</t>
  </si>
  <si>
    <t xml:space="preserve">Kontrol Yok</t>
  </si>
  <si>
    <t xml:space="preserve">Su tankı (T-102) 2018'den bu yana kontrol yapılmamış</t>
  </si>
  <si>
    <t xml:space="preserve">Acil muayene planlanmalı; teknik durum değerlendirmesi yapılmalı</t>
  </si>
  <si>
    <t xml:space="preserve">VK-005</t>
  </si>
  <si>
    <t xml:space="preserve">No:5,6,9-23</t>
  </si>
  <si>
    <t xml:space="preserve">Yardımcı tankların çoğunda muayene tarihi ve rapor no yok</t>
  </si>
  <si>
    <t xml:space="preserve">Yardımcı işletme mühendisleriyle veri tamamlama toplantısı</t>
  </si>
  <si>
    <t xml:space="preserve">VK-006</t>
  </si>
  <si>
    <t xml:space="preserve">Maliyet Raporu</t>
  </si>
  <si>
    <t xml:space="preserve">Fatura Bazlı Detay</t>
  </si>
  <si>
    <t xml:space="preserve">Tüm kayıtlar</t>
  </si>
  <si>
    <t xml:space="preserve">Dönem Eksik</t>
  </si>
  <si>
    <t xml:space="preserve">Yalnızca Ocak-Mart 2025 mevcut; Nisan 2025 ve sonrası yok. Bütçe karşılaştırması yapılamıyor.</t>
  </si>
  <si>
    <t xml:space="preserve">Tam yıl SAP verisi istenecek; bütçe planı ile eşleştirilecek</t>
  </si>
  <si>
    <t xml:space="preserve">VK-007</t>
  </si>
  <si>
    <t xml:space="preserve">Bütçe Karşılaştırması Yok</t>
  </si>
  <si>
    <t xml:space="preserve">Planlanan bütçe değerleri mevcut değil; yalnızca gerçekleşen giderler var</t>
  </si>
  <si>
    <t xml:space="preserve">Yıllık bütçe tablosu ayrıca temin edilmeli</t>
  </si>
  <si>
    <t xml:space="preserve">VK-008</t>
  </si>
  <si>
    <t xml:space="preserve">HAZOP Aksiyon</t>
  </si>
  <si>
    <t xml:space="preserve">AKSIYON_LISTESI</t>
  </si>
  <si>
    <t xml:space="preserve">Tüm aksiyonlar</t>
  </si>
  <si>
    <t xml:space="preserve">Sorumlu Eksik</t>
  </si>
  <si>
    <t xml:space="preserve">619 HAZOP aksiyonunun hiçbirinde sorumlu kişi veya termin tarihi yok</t>
  </si>
  <si>
    <t xml:space="preserve">Proje sahibi aksiyonları gözden geçirip sorumlu atamalı</t>
  </si>
  <si>
    <t xml:space="preserve">VK-009</t>
  </si>
  <si>
    <t xml:space="preserve">Pilot Reaktör</t>
  </si>
  <si>
    <t xml:space="preserve">GİRDİLER</t>
  </si>
  <si>
    <t xml:space="preserve">Kalem 6</t>
  </si>
  <si>
    <t xml:space="preserve">Varsayım</t>
  </si>
  <si>
    <t xml:space="preserve">Betopan demontaj birim fiyatı protokolde yok; çelik montaj/demontaj oranından türetildi (%50)</t>
  </si>
  <si>
    <t xml:space="preserve">Sözleşme revizyonunda fiyat netleştirilmeli</t>
  </si>
  <si>
    <t xml:space="preserve">VK-010</t>
  </si>
  <si>
    <t xml:space="preserve">ADS Sistemi</t>
  </si>
  <si>
    <t xml:space="preserve">5-Riskler</t>
  </si>
  <si>
    <t xml:space="preserve">KRİTİK maddeler</t>
  </si>
  <si>
    <t xml:space="preserve">Teknik Veri Eksik</t>
  </si>
  <si>
    <t xml:space="preserve">UF reaktör dolu hacmi ve fenolik swell (ARC/VSP2) doğrulanmadan 50 m³ hacim kesinleşemiyor</t>
  </si>
  <si>
    <t xml:space="preserve">Reaktör proses verileri temin edilmeli; kalorimetre testi yapılmalı</t>
  </si>
</sst>
</file>

<file path=xl/styles.xml><?xml version="1.0" encoding="utf-8"?>
<styleSheet xmlns="http://schemas.openxmlformats.org/spreadsheetml/2006/main">
  <numFmts count="10">
    <numFmt numFmtId="164" formatCode="General"/>
    <numFmt numFmtId="165" formatCode="#,##0"/>
    <numFmt numFmtId="166" formatCode="General"/>
    <numFmt numFmtId="167" formatCode="#,##0.00&quot; ₺&quot;"/>
    <numFmt numFmtId="168" formatCode="@"/>
    <numFmt numFmtId="169" formatCode="0%"/>
    <numFmt numFmtId="170" formatCode="#,##0.00"/>
    <numFmt numFmtId="171" formatCode="dd\.mm\.yyyy"/>
    <numFmt numFmtId="172" formatCode="#,##0.0"/>
    <numFmt numFmtId="173" formatCode="0.0%"/>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606060"/>
      <name val="Arial"/>
      <family val="0"/>
      <charset val="1"/>
    </font>
    <font>
      <b val="true"/>
      <sz val="11"/>
      <color rgb="FFFFFFFF"/>
      <name val="Arial"/>
      <family val="0"/>
      <charset val="1"/>
    </font>
    <font>
      <b val="true"/>
      <sz val="9"/>
      <color rgb="FFFFFFFF"/>
      <name val="Arial"/>
      <family val="0"/>
      <charset val="1"/>
    </font>
    <font>
      <b val="true"/>
      <sz val="18"/>
      <color rgb="FF1F3864"/>
      <name val="Arial"/>
      <family val="0"/>
      <charset val="1"/>
    </font>
    <font>
      <i val="true"/>
      <sz val="9"/>
      <color rgb="FF4472C4"/>
      <name val="Arial"/>
      <family val="0"/>
      <charset val="1"/>
    </font>
    <font>
      <b val="true"/>
      <sz val="13"/>
      <color rgb="FFFFFFFF"/>
      <name val="Arial"/>
      <family val="0"/>
      <charset val="1"/>
    </font>
    <font>
      <b val="true"/>
      <sz val="10"/>
      <color rgb="FFFFFFFF"/>
      <name val="Arial"/>
      <family val="0"/>
      <charset val="1"/>
    </font>
    <font>
      <sz val="10"/>
      <color rgb="FF000000"/>
      <name val="Arial"/>
      <family val="0"/>
      <charset val="1"/>
    </font>
    <font>
      <sz val="9"/>
      <color rgb="FF000000"/>
      <name val="Arial"/>
      <family val="0"/>
      <charset val="1"/>
    </font>
    <font>
      <i val="true"/>
      <sz val="10"/>
      <color rgb="FF808080"/>
      <name val="Arial"/>
      <family val="0"/>
      <charset val="1"/>
    </font>
    <font>
      <b val="true"/>
      <sz val="10"/>
      <color rgb="FF000000"/>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2E75B6"/>
        <bgColor rgb="FF4472C4"/>
      </patternFill>
    </fill>
    <fill>
      <patternFill patternType="solid">
        <fgColor rgb="FFFFFFFF"/>
        <bgColor rgb="FFEEF3F9"/>
      </patternFill>
    </fill>
    <fill>
      <patternFill patternType="solid">
        <fgColor rgb="FF375623"/>
        <bgColor rgb="FF333300"/>
      </patternFill>
    </fill>
    <fill>
      <patternFill patternType="solid">
        <fgColor rgb="FF9C0006"/>
        <bgColor rgb="FFC00000"/>
      </patternFill>
    </fill>
    <fill>
      <patternFill patternType="solid">
        <fgColor rgb="FF9C6500"/>
        <bgColor rgb="FF9E480E"/>
      </patternFill>
    </fill>
    <fill>
      <patternFill patternType="solid">
        <fgColor rgb="FFC6EFCE"/>
        <bgColor rgb="FFDEEAF1"/>
      </patternFill>
    </fill>
    <fill>
      <patternFill patternType="solid">
        <fgColor rgb="FFFFC7CE"/>
        <bgColor rgb="FFD9D9D9"/>
      </patternFill>
    </fill>
    <fill>
      <patternFill patternType="solid">
        <fgColor rgb="FFFFEB9C"/>
        <bgColor rgb="FFFFF2CC"/>
      </patternFill>
    </fill>
    <fill>
      <patternFill patternType="solid">
        <fgColor rgb="FFEEF3F9"/>
        <bgColor rgb="FFDDEBF7"/>
      </patternFill>
    </fill>
    <fill>
      <patternFill patternType="solid">
        <fgColor rgb="FFDEEAF1"/>
        <bgColor rgb="FFDDEBF7"/>
      </patternFill>
    </fill>
    <fill>
      <patternFill patternType="solid">
        <fgColor rgb="FFFFF2CC"/>
        <bgColor rgb="FFFFEB9C"/>
      </patternFill>
    </fill>
  </fills>
  <borders count="3">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6" fontId="8" fillId="8" borderId="1" xfId="0" applyFont="true" applyBorder="true" applyAlignment="true" applyProtection="false">
      <alignment horizontal="center" vertical="center" textRotation="0" wrapText="true" indent="0" shrinkToFit="false"/>
      <protection locked="true" hidden="false"/>
    </xf>
    <xf numFmtId="166" fontId="8" fillId="9" borderId="1" xfId="0" applyFont="true" applyBorder="true" applyAlignment="true" applyProtection="false">
      <alignment horizontal="center" vertical="center" textRotation="0" wrapText="true" indent="0" shrinkToFit="false"/>
      <protection locked="true" hidden="false"/>
    </xf>
    <xf numFmtId="166" fontId="8" fillId="10"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true" indent="0" shrinkToFit="false"/>
      <protection locked="true" hidden="false"/>
    </xf>
    <xf numFmtId="168" fontId="8" fillId="4" borderId="1" xfId="0" applyFont="true" applyBorder="true" applyAlignment="true" applyProtection="false">
      <alignment horizontal="center" vertical="center" textRotation="0" wrapText="true" indent="0" shrinkToFit="false"/>
      <protection locked="true" hidden="false"/>
    </xf>
    <xf numFmtId="164" fontId="9" fillId="11" borderId="0" xfId="0" applyFont="true" applyBorder="true" applyAlignment="true" applyProtection="false">
      <alignment horizontal="center" vertical="center" textRotation="0" wrapText="fals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12" borderId="2"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9" fontId="12" fillId="12" borderId="2" xfId="0" applyFont="true" applyBorder="true" applyAlignment="true" applyProtection="false">
      <alignment horizontal="left" vertical="center" textRotation="0" wrapText="true" indent="0" shrinkToFit="false"/>
      <protection locked="true" hidden="false"/>
    </xf>
    <xf numFmtId="170" fontId="12" fillId="12" borderId="2" xfId="0" applyFont="true" applyBorder="true" applyAlignment="true" applyProtection="false">
      <alignment horizontal="right" vertical="center" textRotation="0" wrapText="true" indent="0" shrinkToFit="false"/>
      <protection locked="true" hidden="false"/>
    </xf>
    <xf numFmtId="169" fontId="12" fillId="0" borderId="2" xfId="0" applyFont="true" applyBorder="true" applyAlignment="true" applyProtection="false">
      <alignment horizontal="left" vertical="center" textRotation="0" wrapText="true" indent="0" shrinkToFit="false"/>
      <protection locked="true" hidden="false"/>
    </xf>
    <xf numFmtId="170" fontId="12" fillId="0" borderId="2" xfId="0" applyFont="true" applyBorder="true" applyAlignment="true" applyProtection="false">
      <alignment horizontal="right" vertical="center" textRotation="0" wrapText="true" indent="0" shrinkToFit="false"/>
      <protection locked="true" hidden="false"/>
    </xf>
    <xf numFmtId="171" fontId="12" fillId="0" borderId="2" xfId="0" applyFont="true" applyBorder="true" applyAlignment="true" applyProtection="false">
      <alignment horizontal="left" vertical="center" textRotation="0" wrapText="true" indent="0" shrinkToFit="false"/>
      <protection locked="true" hidden="false"/>
    </xf>
    <xf numFmtId="164" fontId="12" fillId="13" borderId="2"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false" indent="0" shrinkToFit="false"/>
      <protection locked="true" hidden="false"/>
    </xf>
    <xf numFmtId="172" fontId="13" fillId="0" borderId="2"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7" fontId="13" fillId="0" borderId="2" xfId="0" applyFont="true" applyBorder="true" applyAlignment="true" applyProtection="false">
      <alignment horizontal="right" vertical="center" textRotation="0" wrapText="tru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right" vertical="center" textRotation="0" wrapText="true" indent="0" shrinkToFit="false"/>
      <protection locked="true" hidden="false"/>
    </xf>
    <xf numFmtId="173" fontId="13" fillId="0" borderId="2" xfId="0" applyFont="true" applyBorder="true" applyAlignment="true" applyProtection="false">
      <alignment horizontal="right" vertical="center" textRotation="0" wrapText="tru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7" fontId="15" fillId="0" borderId="2" xfId="0" applyFont="true" applyBorder="true" applyAlignment="true" applyProtection="false">
      <alignment horizontal="righ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2E75B6"/>
          <bgColor rgb="FF000000"/>
        </patternFill>
      </fill>
    </dxf>
    <dxf>
      <fill>
        <patternFill patternType="solid">
          <fgColor rgb="FFDEEAF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ont>
        <name val="Arial"/>
        <charset val="1"/>
        <family val="0"/>
        <color rgb="FF375623"/>
        <sz val="10"/>
      </font>
      <fill>
        <patternFill>
          <bgColor rgb="FFC6EFCE"/>
        </patternFill>
      </fill>
    </dxf>
    <dxf>
      <fill>
        <patternFill>
          <bgColor rgb="FFDDEBF7"/>
        </patternFill>
      </fill>
    </dxf>
    <dxf>
      <font>
        <name val="Arial"/>
        <charset val="1"/>
        <family val="0"/>
        <color rgb="FF9C0006"/>
        <sz val="10"/>
      </font>
      <fill>
        <patternFill>
          <bgColor rgb="FFFFC7CE"/>
        </patternFill>
      </fill>
    </dxf>
    <dxf>
      <fill>
        <patternFill patternType="solid">
          <fgColor rgb="FFFFF2CC"/>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C6EFCE"/>
          <bgColor rgb="FF000000"/>
        </patternFill>
      </fill>
    </dxf>
    <dxf>
      <fill>
        <patternFill patternType="solid">
          <fgColor rgb="FF375623"/>
          <bgColor rgb="FF000000"/>
        </patternFill>
      </fill>
    </dxf>
    <dxf>
      <font>
        <name val="Arial"/>
        <charset val="1"/>
        <family val="0"/>
        <color rgb="FF9C0006"/>
        <sz val="9"/>
      </font>
      <fill>
        <patternFill>
          <bgColor rgb="FFFFC7CE"/>
        </patternFill>
      </fill>
    </dxf>
    <dxf>
      <font>
        <name val="Arial"/>
        <charset val="1"/>
        <family val="0"/>
        <color rgb="FF375623"/>
        <sz val="9"/>
      </font>
      <fill>
        <patternFill>
          <bgColor rgb="FFC6EFCE"/>
        </patternFill>
      </fill>
    </dxf>
    <dxf>
      <font>
        <name val="Arial"/>
        <charset val="1"/>
        <family val="0"/>
        <b val="1"/>
        <color rgb="FF9C0006"/>
        <sz val="9"/>
      </font>
      <fill>
        <patternFill>
          <bgColor rgb="FFFFC7CE"/>
        </patternFill>
      </fill>
    </dxf>
    <dxf>
      <font>
        <name val="Arial"/>
        <charset val="1"/>
        <family val="0"/>
        <color rgb="FF9C6500"/>
        <sz val="9"/>
      </font>
      <fill>
        <patternFill>
          <bgColor rgb="FFFFEB9C"/>
        </patternFill>
      </fill>
    </dxf>
    <dxf>
      <fill>
        <patternFill patternType="solid">
          <fgColor rgb="FF808080"/>
          <bgColor rgb="FF000000"/>
        </patternFill>
      </fill>
    </dxf>
    <dxf>
      <fill>
        <patternFill patternType="solid">
          <fgColor rgb="FFFFEB9C"/>
          <bgColor rgb="FF000000"/>
        </patternFill>
      </fill>
    </dxf>
    <dxf>
      <fill>
        <patternFill patternType="solid">
          <fgColor rgb="FF9C6500"/>
          <bgColor rgb="FF000000"/>
        </patternFill>
      </fill>
    </dxf>
    <dxf>
      <font>
        <name val="Arial"/>
        <charset val="1"/>
        <family val="0"/>
        <color rgb="FF9C6500"/>
        <sz val="1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7030A0"/>
      <rgbColor rgb="FFFFF2CC"/>
      <rgbColor rgb="FFDDEBF7"/>
      <rgbColor rgb="FF660066"/>
      <rgbColor rgb="FFFF8080"/>
      <rgbColor rgb="FF2E75B6"/>
      <rgbColor rgb="FFD9D9D9"/>
      <rgbColor rgb="FF000080"/>
      <rgbColor rgb="FFFF00FF"/>
      <rgbColor rgb="FFFFFF00"/>
      <rgbColor rgb="FF00FFFF"/>
      <rgbColor rgb="FF800080"/>
      <rgbColor rgb="FFC00000"/>
      <rgbColor rgb="FF008080"/>
      <rgbColor rgb="FF0000FF"/>
      <rgbColor rgb="FF00B0F0"/>
      <rgbColor rgb="FFDEEAF1"/>
      <rgbColor rgb="FFC6EFCE"/>
      <rgbColor rgb="FFFFEB9C"/>
      <rgbColor rgb="FFEEF3F9"/>
      <rgbColor rgb="FFFF99CC"/>
      <rgbColor rgb="FFCC99FF"/>
      <rgbColor rgb="FFFFC7CE"/>
      <rgbColor rgb="FF4472C4"/>
      <rgbColor rgb="FF33CCCC"/>
      <rgbColor rgb="FF92D050"/>
      <rgbColor rgb="FFFFC000"/>
      <rgbColor rgb="FFF4B942"/>
      <rgbColor rgb="FFED7D31"/>
      <rgbColor rgb="FF606060"/>
      <rgbColor rgb="FFA5A5A5"/>
      <rgbColor rgb="FF1F3864"/>
      <rgbColor rgb="FF70AD47"/>
      <rgbColor rgb="FF003300"/>
      <rgbColor rgb="FF333300"/>
      <rgbColor rgb="FF9E480E"/>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tbl_BakimGecmisi" displayName="tbl_BakimGecmisi" ref="A2:L32" headerRowCount="1" totalsRowCount="0" totalsRowShown="0">
  <autoFilter ref="A2:L32"/>
  <tableColumns count="12">
    <tableColumn id="1" name="BAK_ID"/>
    <tableColumn id="2" name="EKP_ID"/>
    <tableColumn id="3" name="Ekipman_Adı"/>
    <tableColumn id="4" name="TANK_ID"/>
    <tableColumn id="5" name="Tank_Adı"/>
    <tableColumn id="6" name="Bakım_Tarihi"/>
    <tableColumn id="7" name="Bakım_Türü"/>
    <tableColumn id="8" name="Yapan / Firma"/>
    <tableColumn id="9" name="Açıklama"/>
    <tableColumn id="10" name="Maliyet_TL"/>
    <tableColumn id="11" name="İş_Emri_No"/>
    <tableColumn id="12" name="Notlar"/>
  </tableColumns>
</table>
</file>

<file path=xl/tables/table2.xml><?xml version="1.0" encoding="utf-8"?>
<table xmlns="http://schemas.openxmlformats.org/spreadsheetml/2006/main" id="2" name="tbl_BudgetDetail" displayName="tbl_BudgetDetail" ref="A3:P588" headerRowCount="1" totalsRowCount="0" totalsRowShown="0">
  <autoFilter ref="A3:P588"/>
  <tableColumns count="16">
    <tableColumn id="1" name="KAY_ID"/>
    <tableColumn id="2" name="Masraf_Yeri_Kodu"/>
    <tableColumn id="3" name="Masraf_Yeri_Adı"/>
    <tableColumn id="4" name="Ana_Hesap_Kodu"/>
    <tableColumn id="5" name="Gider_Kategorisi"/>
    <tableColumn id="6" name="Tutar_TRY"/>
    <tableColumn id="7" name="Para_Birimi"/>
    <tableColumn id="8" name="Belge_No"/>
    <tableColumn id="9" name="Kayıt_Tarihi"/>
    <tableColumn id="10" name="Belge_Tarihi"/>
    <tableColumn id="11" name="Metin"/>
    <tableColumn id="12" name="Kullanıcı"/>
    <tableColumn id="13" name="Satıcı_Adı"/>
    <tableColumn id="14" name="Sipariş_No"/>
    <tableColumn id="15" name="Sipariş_Adı"/>
    <tableColumn id="16" name="PRJ_ID"/>
  </tableColumns>
</table>
</file>

<file path=xl/tables/table3.xml><?xml version="1.0" encoding="utf-8"?>
<table xmlns="http://schemas.openxmlformats.org/spreadsheetml/2006/main" id="3" name="tbl_Dokuman" displayName="tbl_Dokuman" ref="A2:L27" headerRowCount="1" totalsRowCount="0" totalsRowShown="0">
  <autoFilter ref="A2:L27"/>
  <tableColumns count="12">
    <tableColumn id="1" name="DOK_ID"/>
    <tableColumn id="2" name="Doküman_Adı"/>
    <tableColumn id="3" name="Tür"/>
    <tableColumn id="4" name="İlgili_PRJ"/>
    <tableColumn id="5" name="İlgili_Ekipman"/>
    <tableColumn id="6" name="Revizyon"/>
    <tableColumn id="7" name="Tarih"/>
    <tableColumn id="8" name="Dosya_Yolu_veya_Linki"/>
    <tableColumn id="9" name="Durum"/>
    <tableColumn id="10" name="Hazırlayan"/>
    <tableColumn id="11" name="Açıklama"/>
    <tableColumn id="12" name="Son_Güncelleme"/>
  </tableColumns>
</table>
</file>

<file path=xl/tables/table4.xml><?xml version="1.0" encoding="utf-8"?>
<table xmlns="http://schemas.openxmlformats.org/spreadsheetml/2006/main" id="4" name="tbl_Ekipman" displayName="tbl_Ekipman" ref="A2:R42" headerRowCount="1" totalsRowCount="0" totalsRowShown="0">
  <autoFilter ref="A2:R42"/>
  <tableColumns count="18">
    <tableColumn id="1" name="EKP_ID"/>
    <tableColumn id="2" name="Ekipman_Kodu"/>
    <tableColumn id="3" name="Ekipman_Adı"/>
    <tableColumn id="4" name="Ekipman_Tipi"/>
    <tableColumn id="5" name="Tesis"/>
    <tableColumn id="6" name="Sistem"/>
    <tableColumn id="7" name="Üretici"/>
    <tableColumn id="8" name="Model"/>
    <tableColumn id="9" name="Seri_No"/>
    <tableColumn id="10" name="Teknik_Özellikler"/>
    <tableColumn id="11" name="Son_Bakım"/>
    <tableColumn id="12" name="Sonraki_Bakım"/>
    <tableColumn id="13" name="Bakım_Sıklığı"/>
    <tableColumn id="14" name="Durum"/>
    <tableColumn id="15" name="Açık_Bakım_Bildirimleri"/>
    <tableColumn id="16" name="Bakım_Maliyet_TL"/>
    <tableColumn id="17" name="İlgili_PRJ"/>
    <tableColumn id="18" name="Doküman_Linki"/>
  </tableColumns>
</table>
</file>

<file path=xl/tables/table5.xml><?xml version="1.0" encoding="utf-8"?>
<table xmlns="http://schemas.openxmlformats.org/spreadsheetml/2006/main" id="5" name="tbl_GunlukIs" displayName="tbl_GunlukIs" ref="A2:P29" headerRowCount="1" totalsRowCount="0" totalsRowShown="0">
  <autoFilter ref="A2:P29"/>
  <tableColumns count="16">
    <tableColumn id="1" name="IS_ID"/>
    <tableColumn id="2" name="İş_Açıklaması"/>
    <tableColumn id="3" name="İlgili_PRJ"/>
    <tableColumn id="4" name="Ekipman_Tag"/>
    <tableColumn id="5" name="İş_Kategorisi"/>
    <tableColumn id="6" name="Talep_Eden"/>
    <tableColumn id="7" name="Sorumlu"/>
    <tableColumn id="8" name="Acilis_Tarihi"/>
    <tableColumn id="9" name="Termin"/>
    <tableColumn id="10" name="Öncelik"/>
    <tableColumn id="11" name="Durum"/>
    <tableColumn id="12" name="Bekleme_Nedeni"/>
    <tableColumn id="13" name="Son_İşlem"/>
    <tableColumn id="14" name="Sonraki_Adım"/>
    <tableColumn id="15" name="Tamamlanma"/>
    <tableColumn id="16" name="Notlar"/>
  </tableColumns>
</table>
</file>

<file path=xl/tables/table6.xml><?xml version="1.0" encoding="utf-8"?>
<table xmlns="http://schemas.openxmlformats.org/spreadsheetml/2006/main" id="6" name="tbl_Hortum" displayName="tbl_Hortum" ref="A2:V32" headerRowCount="1" totalsRowCount="0" totalsRowShown="0">
  <autoFilter ref="A2:V32"/>
  <tableColumns count="22">
    <tableColumn id="1" name="HORTUM_ID"/>
    <tableColumn id="2" name="Etiket/Seri_No"/>
    <tableColumn id="3" name="Tesis"/>
    <tableColumn id="4" name="Dolum_Noktası"/>
    <tableColumn id="5" name="Kimyasal"/>
    <tableColumn id="6" name="Hortum_Tipi"/>
    <tableColumn id="7" name="İç_Malzeme"/>
    <tableColumn id="8" name="Dış_Malzeme"/>
    <tableColumn id="9" name="Çap_mm"/>
    <tableColumn id="10" name="Uzunluk_m"/>
    <tableColumn id="11" name="Bağlantı_Tipi"/>
    <tableColumn id="12" name="Basınç_Sınıfı_bar"/>
    <tableColumn id="13" name="Kim_Uyumluluk"/>
    <tableColumn id="14" name="Üretici"/>
    <tableColumn id="15" name="Üretim_Tarihi"/>
    <tableColumn id="16" name="Devreye_Tarihi"/>
    <tableColumn id="17" name="Son_Kontrol"/>
    <tableColumn id="18" name="Sonraki_Kontrol"/>
    <tableColumn id="19" name="Durum"/>
    <tableColumn id="20" name="Hasar_Kaydı"/>
    <tableColumn id="21" name="Son_Değişim_Tarihi"/>
    <tableColumn id="22" name="Notlar"/>
  </tableColumns>
</table>
</file>

<file path=xl/tables/table7.xml><?xml version="1.0" encoding="utf-8"?>
<table xmlns="http://schemas.openxmlformats.org/spreadsheetml/2006/main" id="7" name="tbl_Kaynak" displayName="tbl_Kaynak" ref="A2:H7" headerRowCount="1" totalsRowCount="0" totalsRowShown="0">
  <autoFilter ref="A2:H7"/>
  <tableColumns count="8">
    <tableColumn id="1" name="Dosya_ID"/>
    <tableColumn id="2" name="Dosya_Adı"/>
    <tableColumn id="3" name="Dosya_Türü"/>
    <tableColumn id="4" name="Modül"/>
    <tableColumn id="5" name="Sayfa / Kapsam"/>
    <tableColumn id="6" name="Kayıt_Sayısı"/>
    <tableColumn id="7" name="İçerik_Özeti"/>
    <tableColumn id="8" name="Veri_Kalitesi_Notu"/>
  </tableColumns>
</table>
</file>

<file path=xl/tables/table8.xml><?xml version="1.0" encoding="utf-8"?>
<table xmlns="http://schemas.openxmlformats.org/spreadsheetml/2006/main" id="8" name="tbl_PrjAks" displayName="tbl_PrjAks" ref="A2:N13" headerRowCount="1" totalsRowCount="0" totalsRowShown="0">
  <autoFilter ref="A2:N13"/>
  <tableColumns count="14">
    <tableColumn id="1" name="AKS_ID"/>
    <tableColumn id="2" name="PRJ_ID"/>
    <tableColumn id="3" name="Proje_Adı"/>
    <tableColumn id="4" name="Aksiyon_Açıklaması"/>
    <tableColumn id="5" name="Kategori"/>
    <tableColumn id="6" name="Sorumlu"/>
    <tableColumn id="7" name="Acilis_Tarihi"/>
    <tableColumn id="8" name="Termin"/>
    <tableColumn id="9" name="Durum"/>
    <tableColumn id="10" name="Öncelik"/>
    <tableColumn id="11" name="Tamamlanma_Tarihi"/>
    <tableColumn id="12" name="Gecikme_Gun"/>
    <tableColumn id="13" name="Notlar"/>
    <tableColumn id="14" name="Son_Güncelleme"/>
  </tableColumns>
</table>
</file>

<file path=xl/tables/table9.xml><?xml version="1.0" encoding="utf-8"?>
<table xmlns="http://schemas.openxmlformats.org/spreadsheetml/2006/main" id="9" name="tbl_Projeler" displayName="tbl_Projeler" ref="A2:AD4" headerRowCount="1" totalsRowCount="0" totalsRowShown="0">
  <autoFilter ref="A2:AD4"/>
  <tableColumns count="30">
    <tableColumn id="1" name="PRJ_ID"/>
    <tableColumn id="2" name="Proje_Adı"/>
    <tableColumn id="3" name="Tesis"/>
    <tableColumn id="4" name="Kategori"/>
    <tableColumn id="5" name="Açıklama / Kapsam"/>
    <tableColumn id="6" name="Teknik_Gerekçe"/>
    <tableColumn id="7" name="Fayda"/>
    <tableColumn id="8" name="Öncelik"/>
    <tableColumn id="9" name="Risk_Seviyesi"/>
    <tableColumn id="10" name="Sorumlu"/>
    <tableColumn id="11" name="Talep_Tarihi"/>
    <tableColumn id="12" name="Plan_Baslangic"/>
    <tableColumn id="13" name="Plan_Bitis"/>
    <tableColumn id="14" name="Ger_Baslangic"/>
    <tableColumn id="15" name="Ger_Bitis"/>
    <tableColumn id="16" name="Aşama"/>
    <tableColumn id="17" name="İlerleme_%"/>
    <tableColumn id="18" name="Plan_Butce_TL"/>
    <tableColumn id="19" name="Teklif_TL"/>
    <tableColumn id="20" name="Siparis_TL"/>
    <tableColumn id="21" name="Ger_Harcama_TL"/>
    <tableColumn id="22" name="Kalan_Butce_TL"/>
    <tableColumn id="23" name="Butce_Sapmasi_%"/>
    <tableColumn id="24" name="Belge_No"/>
    <tableColumn id="25" name="Durum"/>
    <tableColumn id="26" name="Sonraki_Aksiyon"/>
    <tableColumn id="27" name="Aks_Sorumlu"/>
    <tableColumn id="28" name="Aks_Termin"/>
    <tableColumn id="29" name="Gecikme_Nedeni"/>
    <tableColumn id="30" name="Son_Guncelleme"/>
  </tableColumns>
</table>
</file>

<file path=xl/tables/table10.xml><?xml version="1.0" encoding="utf-8"?>
<table xmlns="http://schemas.openxmlformats.org/spreadsheetml/2006/main" id="10" name="tbl_Risk" displayName="tbl_Risk" ref="A3:R243" headerRowCount="1" totalsRowCount="0" totalsRowShown="0">
  <autoFilter ref="A3:R243"/>
  <tableColumns count="18">
    <tableColumn id="1" name="UYG_ID"/>
    <tableColumn id="2" name="Kaynak"/>
    <tableColumn id="3" name="Firma"/>
    <tableColumn id="4" name="Tesis"/>
    <tableColumn id="5" name="Ünite"/>
    <tableColumn id="6" name="Ekipman_Tag"/>
    <tableColumn id="7" name="Node_No"/>
    <tableColumn id="8" name="HAZOP_No"/>
    <tableColumn id="9" name="Aksiyon_Türü"/>
    <tableColumn id="10" name="Olası_Neden"/>
    <tableColumn id="11" name="Olası_Sonuç"/>
    <tableColumn id="12" name="Aksiyon_Açıklaması"/>
    <tableColumn id="13" name="Risk_Seviyesi"/>
    <tableColumn id="14" name="Sorumlu"/>
    <tableColumn id="15" name="Termin"/>
    <tableColumn id="16" name="Durum"/>
    <tableColumn id="17" name="Kapama_Tarihi"/>
    <tableColumn id="18" name="Notlar"/>
  </tableColumns>
</table>
</file>

<file path=xl/tables/table11.xml><?xml version="1.0" encoding="utf-8"?>
<table xmlns="http://schemas.openxmlformats.org/spreadsheetml/2006/main" id="11" name="tbl_SatinAlma" displayName="tbl_SatinAlma" ref="A2:P25" headerRowCount="1" totalsRowCount="0" totalsRowShown="0">
  <autoFilter ref="A2:P25"/>
  <tableColumns count="16">
    <tableColumn id="1" name="SAT_ID"/>
    <tableColumn id="2" name="Talep_No"/>
    <tableColumn id="3" name="Talep_Tarihi"/>
    <tableColumn id="4" name="Malzeme_Hizmet"/>
    <tableColumn id="5" name="Miktar"/>
    <tableColumn id="6" name="Birim"/>
    <tableColumn id="7" name="Teklif_Durum"/>
    <tableColumn id="8" name="Siparis_No"/>
    <tableColumn id="9" name="Tedarikçi"/>
    <tableColumn id="10" name="Plan_Teslim_Tarihi"/>
    <tableColumn id="11" name="Ger_Teslim_Tarihi"/>
    <tableColumn id="12" name="Siparis_Tutari_TL"/>
    <tableColumn id="13" name="Kabul_Durumu"/>
    <tableColumn id="14" name="Gecikme_Nedeni"/>
    <tableColumn id="15" name="PRJ_ID"/>
    <tableColumn id="16" name="Notlar"/>
  </tableColumns>
</table>
</file>

<file path=xl/tables/table12.xml><?xml version="1.0" encoding="utf-8"?>
<table xmlns="http://schemas.openxmlformats.org/spreadsheetml/2006/main" id="12" name="tbl_Tank" displayName="tbl_Tank" ref="A2:T141" headerRowCount="1" totalsRowCount="0" totalsRowShown="0">
  <autoFilter ref="A2:T141"/>
  <tableColumns count="20">
    <tableColumn id="1" name="TANK_ID"/>
    <tableColumn id="2" name="Kaynak_Sayfa"/>
    <tableColumn id="3" name="Tesis"/>
    <tableColumn id="4" name="SN"/>
    <tableColumn id="5" name="Tank_Adı"/>
    <tableColumn id="6" name="Tank_No_ID"/>
    <tableColumn id="7" name="Hacim_m3"/>
    <tableColumn id="8" name="Kimyasal"/>
    <tableColumn id="9" name="Tank_Tipi"/>
    <tableColumn id="10" name="Malzeme"/>
    <tableColumn id="11" name="Standart"/>
    <tableColumn id="12" name="Muayene_Periyot"/>
    <tableColumn id="13" name="Son_Kontrol"/>
    <tableColumn id="14" name="Sonraki_Kontrol"/>
    <tableColumn id="15" name="Kalan_Gun"/>
    <tableColumn id="16" name="Uyarı_Durumu"/>
    <tableColumn id="17" name="Durum"/>
    <tableColumn id="18" name="Rapor_No"/>
    <tableColumn id="19" name="Açıklama"/>
    <tableColumn id="20" name="Son_Güncelleme"/>
  </tableColumns>
</table>
</file>

<file path=xl/tables/table13.xml><?xml version="1.0" encoding="utf-8"?>
<table xmlns="http://schemas.openxmlformats.org/spreadsheetml/2006/main" id="13" name="tbl_TankMuayene" displayName="tbl_TankMuayene" ref="A2:N25" headerRowCount="1" totalsRowCount="0" totalsRowShown="0">
  <autoFilter ref="A2:N25"/>
  <tableColumns count="14">
    <tableColumn id="1" name="LOG_ID"/>
    <tableColumn id="2" name="TANK_ID"/>
    <tableColumn id="3" name="Tank_Adı"/>
    <tableColumn id="4" name="Muayene_Tarihi"/>
    <tableColumn id="5" name="Muayene_Türü"/>
    <tableColumn id="6" name="Muayene_Kurulusu"/>
    <tableColumn id="7" name="Rapor_No"/>
    <tableColumn id="8" name="Bulgular"/>
    <tableColumn id="9" name="Önerilen_Aksiyonlar"/>
    <tableColumn id="10" name="Bir_Sonraki_Tarih"/>
    <tableColumn id="11" name="Durum"/>
    <tableColumn id="12" name="Maliyet_TL"/>
    <tableColumn id="13" name="İlgili_PRJ"/>
    <tableColumn id="14" name="Notlar"/>
  </tableColumns>
</table>
</file>

<file path=xl/tables/table14.xml><?xml version="1.0" encoding="utf-8"?>
<table xmlns="http://schemas.openxmlformats.org/spreadsheetml/2006/main" id="14" name="tbl_VeriKalite" displayName="tbl_VeriKalite" ref="A2:H12" headerRowCount="1" totalsRowCount="0" totalsRowShown="0">
  <autoFilter ref="A2:H12"/>
  <tableColumns count="8">
    <tableColumn id="1" name="VK_ID"/>
    <tableColumn id="2" name="Kaynak_Dosya"/>
    <tableColumn id="3" name="Sayfa"/>
    <tableColumn id="4" name="Kayıt_Ref"/>
    <tableColumn id="5" name="Sorun_Türü"/>
    <tableColumn id="6" name="Açıklama"/>
    <tableColumn id="7" name="Durum"/>
    <tableColumn id="8" name="Öneri"/>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9.xml"/>
</Relationships>
</file>

<file path=xl/worksheets/_rels/sheet5.xml.rels><?xml version="1.0" encoding="UTF-8"?>
<Relationships xmlns="http://schemas.openxmlformats.org/package/2006/relationships"><Relationship Id="rId1" Type="http://schemas.openxmlformats.org/officeDocument/2006/relationships/table" Target="../tables/table8.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12.xml"/>
</Relationships>
</file>

<file path=xl/worksheets/_rels/sheet8.xml.rels><?xml version="1.0" encoding="UTF-8"?>
<Relationships xmlns="http://schemas.openxmlformats.org/package/2006/relationships"><Relationship Id="rId1" Type="http://schemas.openxmlformats.org/officeDocument/2006/relationships/table" Target="../tables/table13.xml"/>
</Relationships>
</file>

<file path=xl/worksheets/_rels/sheet9.xml.rels><?xml version="1.0" encoding="UTF-8"?>
<Relationships xmlns="http://schemas.openxmlformats.org/package/2006/relationships"><Relationship Id="rId1" Type="http://schemas.openxmlformats.org/officeDocument/2006/relationships/table" Target="../tables/table6.xml"/>
</Relationships>
</file>

<file path=xl/worksheets/_rels/sheet10.xml.rels><?xml version="1.0" encoding="UTF-8"?>
<Relationships xmlns="http://schemas.openxmlformats.org/package/2006/relationships"><Relationship Id="rId1"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table" Target="../tables/table11.xml"/>
</Relationships>
</file>

<file path=xl/worksheets/_rels/sheet14.xml.rels><?xml version="1.0" encoding="UTF-8"?>
<Relationships xmlns="http://schemas.openxmlformats.org/package/2006/relationships"><Relationship Id="rId1" Type="http://schemas.openxmlformats.org/officeDocument/2006/relationships/table" Target="../tables/table10.xml"/>
</Relationships>
</file>

<file path=xl/worksheets/_rels/sheet15.xml.rels><?xml version="1.0" encoding="UTF-8"?>
<Relationships xmlns="http://schemas.openxmlformats.org/package/2006/relationships"><Relationship Id="rId1" Type="http://schemas.openxmlformats.org/officeDocument/2006/relationships/table" Target="../tables/table3.xml"/>
</Relationships>
</file>

<file path=xl/worksheets/_rels/sheet16.xml.rels><?xml version="1.0" encoding="UTF-8"?>
<Relationships xmlns="http://schemas.openxmlformats.org/package/2006/relationships"><Relationship Id="rId1" Type="http://schemas.openxmlformats.org/officeDocument/2006/relationships/table" Target="../tables/table1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4" min="3" style="0" width="16"/>
    <col collapsed="false" customWidth="true" hidden="false" outlineLevel="0" max="6" min="5" style="0" width="22"/>
    <col collapsed="false" customWidth="true" hidden="false" outlineLevel="0" max="8" min="7" style="0" width="16"/>
    <col collapsed="false" customWidth="true" hidden="false" outlineLevel="0" max="10" min="9" style="0" width="22"/>
    <col collapsed="false" customWidth="true" hidden="false" outlineLevel="0" max="14" min="11" style="0" width="16"/>
  </cols>
  <sheetData>
    <row r="1" customFormat="false" ht="36" hidden="false" customHeight="true" outlineLevel="0" collapsed="false">
      <c r="A1" s="1" t="s">
        <v>0</v>
      </c>
      <c r="B1" s="1"/>
      <c r="C1" s="1"/>
      <c r="D1" s="1"/>
      <c r="E1" s="1"/>
      <c r="F1" s="1"/>
      <c r="G1" s="1"/>
      <c r="H1" s="1"/>
      <c r="I1" s="1"/>
      <c r="J1" s="1"/>
      <c r="K1" s="1"/>
      <c r="L1" s="1"/>
      <c r="M1" s="1"/>
      <c r="N1" s="1"/>
    </row>
    <row r="2" customFormat="false" ht="18" hidden="false" customHeight="true" outlineLevel="0" collapsed="false">
      <c r="A2" s="2" t="s">
        <v>1</v>
      </c>
      <c r="B2" s="2"/>
      <c r="C2" s="2"/>
      <c r="D2" s="2"/>
      <c r="E2" s="2"/>
      <c r="F2" s="2"/>
      <c r="G2" s="2"/>
      <c r="H2" s="2"/>
      <c r="I2" s="2"/>
      <c r="J2" s="2"/>
      <c r="K2" s="2"/>
      <c r="L2" s="2"/>
      <c r="M2" s="2"/>
      <c r="N2" s="2"/>
    </row>
    <row r="4" customFormat="false" ht="21.75" hidden="false" customHeight="true" outlineLevel="0" collapsed="false">
      <c r="A4" s="3" t="s">
        <v>2</v>
      </c>
      <c r="B4" s="3"/>
      <c r="C4" s="3"/>
      <c r="D4" s="3"/>
      <c r="E4" s="3"/>
      <c r="F4" s="3"/>
      <c r="G4" s="3"/>
      <c r="H4" s="3"/>
      <c r="I4" s="3"/>
      <c r="J4" s="3"/>
      <c r="K4" s="3"/>
      <c r="L4" s="3"/>
      <c r="M4" s="3"/>
      <c r="N4" s="3"/>
    </row>
    <row r="5" customFormat="false" ht="19.5" hidden="false" customHeight="true" outlineLevel="0" collapsed="false">
      <c r="A5" s="4" t="s">
        <v>3</v>
      </c>
      <c r="B5" s="4"/>
      <c r="C5" s="4" t="s">
        <v>4</v>
      </c>
      <c r="D5" s="4"/>
      <c r="E5" s="4" t="s">
        <v>5</v>
      </c>
      <c r="F5" s="4"/>
      <c r="G5" s="4" t="s">
        <v>6</v>
      </c>
      <c r="H5" s="4"/>
      <c r="I5" s="4"/>
      <c r="J5" s="4" t="s">
        <v>7</v>
      </c>
      <c r="K5" s="4"/>
      <c r="L5" s="4" t="s">
        <v>8</v>
      </c>
      <c r="M5" s="4"/>
    </row>
    <row r="6" customFormat="false" ht="37.5" hidden="false" customHeight="true" outlineLevel="0" collapsed="false">
      <c r="A6" s="5" t="n">
        <v>2</v>
      </c>
      <c r="B6" s="5"/>
      <c r="C6" s="5" t="n">
        <v>2</v>
      </c>
      <c r="D6" s="5"/>
      <c r="E6" s="5" t="n">
        <f aca="false">COUNTIF(Projeler!Y:Y,"Tamamlandı")</f>
        <v>0</v>
      </c>
      <c r="F6" s="5"/>
      <c r="G6" s="6" t="n">
        <v>42429488.9</v>
      </c>
      <c r="H6" s="6"/>
      <c r="I6" s="6"/>
      <c r="J6" s="6" t="n">
        <v>0</v>
      </c>
      <c r="K6" s="6"/>
      <c r="L6" s="5" t="n">
        <v>11</v>
      </c>
      <c r="M6" s="5"/>
    </row>
    <row r="7" customFormat="false" ht="7.5" hidden="false" customHeight="true" outlineLevel="0" collapsed="false"/>
    <row r="8" customFormat="false" ht="21.75" hidden="false" customHeight="true" outlineLevel="0" collapsed="false">
      <c r="A8" s="3" t="s">
        <v>9</v>
      </c>
      <c r="B8" s="3"/>
      <c r="C8" s="3"/>
      <c r="D8" s="3"/>
      <c r="E8" s="3"/>
      <c r="F8" s="3"/>
      <c r="G8" s="3"/>
      <c r="H8" s="3"/>
      <c r="I8" s="3"/>
      <c r="J8" s="3"/>
      <c r="K8" s="3"/>
      <c r="L8" s="3"/>
      <c r="M8" s="3"/>
      <c r="N8" s="3"/>
    </row>
    <row r="9" customFormat="false" ht="19.5" hidden="false" customHeight="true" outlineLevel="0" collapsed="false">
      <c r="A9" s="4" t="s">
        <v>10</v>
      </c>
      <c r="B9" s="4"/>
      <c r="C9" s="7" t="s">
        <v>11</v>
      </c>
      <c r="D9" s="7"/>
      <c r="E9" s="8" t="s">
        <v>12</v>
      </c>
      <c r="F9" s="8"/>
      <c r="G9" s="8"/>
      <c r="H9" s="9" t="s">
        <v>13</v>
      </c>
      <c r="I9" s="9"/>
      <c r="J9" s="4" t="s">
        <v>14</v>
      </c>
      <c r="K9" s="4"/>
      <c r="L9" s="4" t="s">
        <v>15</v>
      </c>
      <c r="M9" s="4"/>
    </row>
    <row r="10" customFormat="false" ht="37.5" hidden="false" customHeight="true" outlineLevel="0" collapsed="false">
      <c r="A10" s="5" t="n">
        <v>139</v>
      </c>
      <c r="B10" s="5"/>
      <c r="C10" s="10" t="n">
        <f aca="false">COUNTIF(Tank_Envanteri!Q:Q,"Uygun")</f>
        <v>82</v>
      </c>
      <c r="D10" s="10"/>
      <c r="E10" s="11" t="n">
        <f aca="false">COUNTIFS(Tank_Envanteri!Q:Q,"Uygun Değil")+COUNTIFS(Tank_Envanteri!Q:Q,"Uygunsuz")</f>
        <v>18</v>
      </c>
      <c r="F10" s="11"/>
      <c r="G10" s="11"/>
      <c r="H10" s="12" t="n">
        <f aca="false">COUNTIF(Tank_Envanteri!P:P,"GECİKMİŞ")</f>
        <v>0</v>
      </c>
      <c r="I10" s="12"/>
      <c r="J10" s="5" t="n">
        <f aca="false">COUNTIF(Tank_Envanteri!P:P,"30 GÜN İÇİNDE")</f>
        <v>0</v>
      </c>
      <c r="K10" s="5"/>
      <c r="L10" s="5" t="n">
        <f aca="false">COUNTIF(Tank_Envanteri!P:P,"90 GÜN İÇİNDE")</f>
        <v>0</v>
      </c>
      <c r="M10" s="5"/>
    </row>
    <row r="11" customFormat="false" ht="7.5" hidden="false" customHeight="true" outlineLevel="0" collapsed="false"/>
    <row r="12" customFormat="false" ht="21.75" hidden="false" customHeight="true" outlineLevel="0" collapsed="false">
      <c r="A12" s="3" t="s">
        <v>16</v>
      </c>
      <c r="B12" s="3"/>
      <c r="C12" s="3"/>
      <c r="D12" s="3"/>
      <c r="E12" s="3"/>
      <c r="F12" s="3"/>
      <c r="G12" s="3"/>
      <c r="H12" s="3"/>
      <c r="I12" s="3"/>
      <c r="J12" s="3"/>
      <c r="K12" s="3"/>
      <c r="L12" s="3"/>
      <c r="M12" s="3"/>
      <c r="N12" s="3"/>
    </row>
    <row r="13" customFormat="false" ht="19.5" hidden="false" customHeight="true" outlineLevel="0" collapsed="false">
      <c r="A13" s="4" t="s">
        <v>17</v>
      </c>
      <c r="B13" s="4"/>
      <c r="C13" s="4" t="s">
        <v>18</v>
      </c>
      <c r="D13" s="4"/>
      <c r="E13" s="9" t="s">
        <v>19</v>
      </c>
      <c r="F13" s="9"/>
      <c r="G13" s="8" t="s">
        <v>20</v>
      </c>
      <c r="H13" s="8"/>
      <c r="I13" s="8"/>
      <c r="J13" s="9" t="s">
        <v>21</v>
      </c>
      <c r="K13" s="9"/>
      <c r="L13" s="4" t="s">
        <v>22</v>
      </c>
      <c r="M13" s="4"/>
    </row>
    <row r="14" customFormat="false" ht="37.5" hidden="false" customHeight="true" outlineLevel="0" collapsed="false">
      <c r="A14" s="5" t="n">
        <f aca="false">COUNTA(Risk_Uygunsuzluk!A:A)-3</f>
        <v>240</v>
      </c>
      <c r="B14" s="5"/>
      <c r="C14" s="5" t="n">
        <v>220</v>
      </c>
      <c r="D14" s="5"/>
      <c r="E14" s="12" t="n">
        <v>18</v>
      </c>
      <c r="F14" s="12"/>
      <c r="G14" s="11" t="n">
        <f aca="false">COUNTIF(Risk_Uygunsuzluk!M:M,"KRİTİK")</f>
        <v>24</v>
      </c>
      <c r="H14" s="11"/>
      <c r="I14" s="11"/>
      <c r="J14" s="12" t="n">
        <f aca="false">COUNTIF(Risk_Uygunsuzluk!M:M,"YÜKSEK")</f>
        <v>97</v>
      </c>
      <c r="K14" s="12"/>
      <c r="L14" s="5" t="n">
        <f aca="false">COUNTIF(Risk_Uygunsuzluk!P:P,"Açık")</f>
        <v>240</v>
      </c>
      <c r="M14" s="5"/>
    </row>
    <row r="15" customFormat="false" ht="7.5" hidden="false" customHeight="true" outlineLevel="0" collapsed="false"/>
    <row r="16" customFormat="false" ht="21.75" hidden="false" customHeight="true" outlineLevel="0" collapsed="false">
      <c r="A16" s="3" t="s">
        <v>23</v>
      </c>
      <c r="B16" s="3"/>
      <c r="C16" s="3"/>
      <c r="D16" s="3"/>
      <c r="E16" s="3"/>
      <c r="F16" s="3"/>
      <c r="G16" s="3"/>
      <c r="H16" s="3"/>
      <c r="I16" s="3"/>
      <c r="J16" s="3"/>
      <c r="K16" s="3"/>
      <c r="L16" s="3"/>
      <c r="M16" s="3"/>
      <c r="N16" s="3"/>
    </row>
    <row r="17" customFormat="false" ht="19.5" hidden="false" customHeight="true" outlineLevel="0" collapsed="false">
      <c r="A17" s="4" t="s">
        <v>24</v>
      </c>
      <c r="B17" s="4"/>
      <c r="C17" s="4"/>
      <c r="D17" s="4" t="s">
        <v>25</v>
      </c>
      <c r="E17" s="4"/>
      <c r="F17" s="4"/>
      <c r="G17" s="4" t="s">
        <v>26</v>
      </c>
      <c r="H17" s="4"/>
      <c r="I17" s="4"/>
      <c r="J17" s="4" t="s">
        <v>27</v>
      </c>
      <c r="K17" s="4"/>
      <c r="L17" s="4"/>
    </row>
    <row r="18" customFormat="false" ht="37.5" hidden="false" customHeight="true" outlineLevel="0" collapsed="false">
      <c r="A18" s="13" t="n">
        <v>15078684.24</v>
      </c>
      <c r="B18" s="13"/>
      <c r="C18" s="13"/>
      <c r="D18" s="13" t="n">
        <v>7808809.87</v>
      </c>
      <c r="E18" s="13"/>
      <c r="F18" s="13"/>
      <c r="G18" s="13" t="n">
        <v>0</v>
      </c>
      <c r="H18" s="13"/>
      <c r="I18" s="13"/>
      <c r="J18" s="13" t="n">
        <v>7269874.37</v>
      </c>
      <c r="K18" s="13"/>
      <c r="L18" s="13"/>
    </row>
    <row r="19" customFormat="false" ht="7.5" hidden="false" customHeight="true" outlineLevel="0" collapsed="false"/>
    <row r="20" customFormat="false" ht="21.75" hidden="false" customHeight="true" outlineLevel="0" collapsed="false">
      <c r="A20" s="3" t="s">
        <v>28</v>
      </c>
      <c r="B20" s="3"/>
      <c r="C20" s="3"/>
      <c r="D20" s="3"/>
      <c r="E20" s="3"/>
      <c r="F20" s="3"/>
      <c r="G20" s="3"/>
      <c r="H20" s="3"/>
      <c r="I20" s="3"/>
      <c r="J20" s="3"/>
      <c r="K20" s="3"/>
      <c r="L20" s="3"/>
      <c r="M20" s="3"/>
      <c r="N20" s="3"/>
    </row>
    <row r="21" customFormat="false" ht="19.5" hidden="false" customHeight="true" outlineLevel="0" collapsed="false">
      <c r="A21" s="8" t="s">
        <v>29</v>
      </c>
      <c r="B21" s="8"/>
      <c r="C21" s="9" t="s">
        <v>30</v>
      </c>
      <c r="D21" s="9"/>
      <c r="E21" s="4" t="s">
        <v>31</v>
      </c>
      <c r="F21" s="4"/>
      <c r="G21" s="4" t="s">
        <v>32</v>
      </c>
      <c r="H21" s="4"/>
      <c r="I21" s="4"/>
      <c r="J21" s="4" t="s">
        <v>33</v>
      </c>
      <c r="K21" s="4"/>
      <c r="L21" s="4" t="s">
        <v>34</v>
      </c>
      <c r="M21" s="4"/>
    </row>
    <row r="22" customFormat="false" ht="37.5" hidden="false" customHeight="true" outlineLevel="0" collapsed="false">
      <c r="A22" s="11" t="n">
        <f aca="false">COUNTIF(Veri_Kalitesi!G:G,"Açık")</f>
        <v>10</v>
      </c>
      <c r="B22" s="11"/>
      <c r="C22" s="12" t="n">
        <v>220</v>
      </c>
      <c r="D22" s="12"/>
      <c r="E22" s="5" t="n">
        <f aca="false">COUNTA(Butce_Maliyet!A:A)-3</f>
        <v>598</v>
      </c>
      <c r="F22" s="5"/>
      <c r="G22" s="14" t="n">
        <f aca="false">COUNTA(Dokuman_Yonetimi!A:A)-2</f>
        <v>5</v>
      </c>
      <c r="H22" s="14"/>
      <c r="I22" s="14"/>
      <c r="J22" s="5" t="n">
        <v>5</v>
      </c>
      <c r="K22" s="5"/>
      <c r="L22" s="15" t="s">
        <v>35</v>
      </c>
      <c r="M22" s="15"/>
    </row>
    <row r="23" customFormat="false" ht="7.5" hidden="false" customHeight="true" outlineLevel="0" collapsed="false"/>
    <row r="24" customFormat="false" ht="21.75" hidden="false" customHeight="true" outlineLevel="0" collapsed="false">
      <c r="A24" s="16" t="s">
        <v>36</v>
      </c>
      <c r="B24" s="16"/>
      <c r="C24" s="16"/>
      <c r="D24" s="16"/>
      <c r="E24" s="16"/>
      <c r="F24" s="16"/>
      <c r="G24" s="16"/>
      <c r="H24" s="16"/>
      <c r="I24" s="16"/>
      <c r="J24" s="16"/>
      <c r="K24" s="16"/>
      <c r="L24" s="16"/>
      <c r="M24" s="16"/>
      <c r="N24" s="16"/>
    </row>
  </sheetData>
  <mergeCells count="64">
    <mergeCell ref="A1:N1"/>
    <mergeCell ref="A2:N2"/>
    <mergeCell ref="A4:N4"/>
    <mergeCell ref="A5:B5"/>
    <mergeCell ref="C5:D5"/>
    <mergeCell ref="E5:F5"/>
    <mergeCell ref="G5:I5"/>
    <mergeCell ref="J5:K5"/>
    <mergeCell ref="L5:M5"/>
    <mergeCell ref="A6:B6"/>
    <mergeCell ref="C6:D6"/>
    <mergeCell ref="E6:F6"/>
    <mergeCell ref="G6:I6"/>
    <mergeCell ref="J6:K6"/>
    <mergeCell ref="L6:M6"/>
    <mergeCell ref="A8:N8"/>
    <mergeCell ref="A9:B9"/>
    <mergeCell ref="C9:D9"/>
    <mergeCell ref="E9:G9"/>
    <mergeCell ref="H9:I9"/>
    <mergeCell ref="J9:K9"/>
    <mergeCell ref="L9:M9"/>
    <mergeCell ref="A10:B10"/>
    <mergeCell ref="C10:D10"/>
    <mergeCell ref="E10:G10"/>
    <mergeCell ref="H10:I10"/>
    <mergeCell ref="J10:K10"/>
    <mergeCell ref="L10:M10"/>
    <mergeCell ref="A12:N12"/>
    <mergeCell ref="A13:B13"/>
    <mergeCell ref="C13:D13"/>
    <mergeCell ref="E13:F13"/>
    <mergeCell ref="G13:I13"/>
    <mergeCell ref="J13:K13"/>
    <mergeCell ref="L13:M13"/>
    <mergeCell ref="A14:B14"/>
    <mergeCell ref="C14:D14"/>
    <mergeCell ref="E14:F14"/>
    <mergeCell ref="G14:I14"/>
    <mergeCell ref="J14:K14"/>
    <mergeCell ref="L14:M14"/>
    <mergeCell ref="A16:N16"/>
    <mergeCell ref="A17:C17"/>
    <mergeCell ref="D17:F17"/>
    <mergeCell ref="G17:I17"/>
    <mergeCell ref="J17:L17"/>
    <mergeCell ref="A18:C18"/>
    <mergeCell ref="D18:F18"/>
    <mergeCell ref="G18:I18"/>
    <mergeCell ref="J18:L18"/>
    <mergeCell ref="A20:N20"/>
    <mergeCell ref="A21:B21"/>
    <mergeCell ref="C21:D21"/>
    <mergeCell ref="E21:F21"/>
    <mergeCell ref="G21:I21"/>
    <mergeCell ref="J21:K21"/>
    <mergeCell ref="L21:M21"/>
    <mergeCell ref="A22:B22"/>
    <mergeCell ref="C22:D22"/>
    <mergeCell ref="E22:F22"/>
    <mergeCell ref="G22:I22"/>
    <mergeCell ref="J22:K22"/>
    <mergeCell ref="L22:M22"/>
    <mergeCell ref="A24:N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5"/>
    <col collapsed="false" customWidth="true" hidden="false" outlineLevel="0" max="4" min="3" style="0" width="22"/>
    <col collapsed="false" customWidth="true" hidden="false" outlineLevel="0" max="5" min="5" style="0" width="40"/>
    <col collapsed="false" customWidth="true" hidden="false" outlineLevel="0" max="6" min="6" style="0" width="18"/>
    <col collapsed="false" customWidth="true" hidden="false" outlineLevel="0" max="8" min="7" style="0" width="60"/>
  </cols>
  <sheetData>
    <row r="1" customFormat="false" ht="27.75" hidden="false" customHeight="true" outlineLevel="0" collapsed="false">
      <c r="A1" s="17" t="s">
        <v>37</v>
      </c>
      <c r="B1" s="17"/>
      <c r="C1" s="17"/>
      <c r="D1" s="17"/>
      <c r="E1" s="17"/>
      <c r="F1" s="17"/>
      <c r="G1" s="17"/>
      <c r="H1" s="17"/>
    </row>
    <row r="2" customFormat="false" ht="30" hidden="false" customHeight="true" outlineLevel="0" collapsed="false">
      <c r="A2" s="18" t="s">
        <v>38</v>
      </c>
      <c r="B2" s="18" t="s">
        <v>39</v>
      </c>
      <c r="C2" s="18" t="s">
        <v>40</v>
      </c>
      <c r="D2" s="18" t="s">
        <v>41</v>
      </c>
      <c r="E2" s="18" t="s">
        <v>42</v>
      </c>
      <c r="F2" s="18" t="s">
        <v>43</v>
      </c>
      <c r="G2" s="18" t="s">
        <v>44</v>
      </c>
      <c r="H2" s="18" t="s">
        <v>45</v>
      </c>
    </row>
    <row r="3" customFormat="false" ht="23.85" hidden="false" customHeight="false" outlineLevel="0" collapsed="false">
      <c r="A3" s="19" t="s">
        <v>46</v>
      </c>
      <c r="B3" s="19" t="s">
        <v>47</v>
      </c>
      <c r="C3" s="19" t="s">
        <v>48</v>
      </c>
      <c r="D3" s="19" t="s">
        <v>49</v>
      </c>
      <c r="E3" s="19" t="s">
        <v>50</v>
      </c>
      <c r="F3" s="19" t="s">
        <v>51</v>
      </c>
      <c r="G3" s="19" t="s">
        <v>52</v>
      </c>
      <c r="H3" s="19" t="s">
        <v>53</v>
      </c>
    </row>
    <row r="4" customFormat="false" ht="23.85" hidden="false" customHeight="false" outlineLevel="0" collapsed="false">
      <c r="A4" s="20" t="s">
        <v>54</v>
      </c>
      <c r="B4" s="20" t="s">
        <v>55</v>
      </c>
      <c r="C4" s="20" t="s">
        <v>56</v>
      </c>
      <c r="D4" s="20" t="s">
        <v>57</v>
      </c>
      <c r="E4" s="20" t="s">
        <v>58</v>
      </c>
      <c r="F4" s="20" t="s">
        <v>59</v>
      </c>
      <c r="G4" s="20" t="s">
        <v>60</v>
      </c>
      <c r="H4" s="20" t="s">
        <v>61</v>
      </c>
    </row>
    <row r="5" customFormat="false" ht="23.85" hidden="false" customHeight="false" outlineLevel="0" collapsed="false">
      <c r="A5" s="19" t="s">
        <v>62</v>
      </c>
      <c r="B5" s="19" t="s">
        <v>63</v>
      </c>
      <c r="C5" s="19" t="s">
        <v>64</v>
      </c>
      <c r="D5" s="19" t="s">
        <v>64</v>
      </c>
      <c r="E5" s="19" t="s">
        <v>65</v>
      </c>
      <c r="F5" s="19" t="s">
        <v>66</v>
      </c>
      <c r="G5" s="19" t="s">
        <v>67</v>
      </c>
      <c r="H5" s="19" t="s">
        <v>68</v>
      </c>
    </row>
    <row r="6" customFormat="false" ht="23.85" hidden="false" customHeight="false" outlineLevel="0" collapsed="false">
      <c r="A6" s="20" t="s">
        <v>69</v>
      </c>
      <c r="B6" s="20" t="s">
        <v>70</v>
      </c>
      <c r="C6" s="20" t="s">
        <v>71</v>
      </c>
      <c r="D6" s="20" t="s">
        <v>72</v>
      </c>
      <c r="E6" s="20" t="s">
        <v>73</v>
      </c>
      <c r="F6" s="20" t="s">
        <v>74</v>
      </c>
      <c r="G6" s="20" t="s">
        <v>75</v>
      </c>
      <c r="H6" s="20" t="s">
        <v>76</v>
      </c>
    </row>
    <row r="7" customFormat="false" ht="35.05" hidden="false" customHeight="false" outlineLevel="0" collapsed="false">
      <c r="A7" s="19" t="s">
        <v>77</v>
      </c>
      <c r="B7" s="19" t="s">
        <v>78</v>
      </c>
      <c r="C7" s="19" t="s">
        <v>79</v>
      </c>
      <c r="D7" s="19" t="s">
        <v>72</v>
      </c>
      <c r="E7" s="19" t="s">
        <v>80</v>
      </c>
      <c r="F7" s="19" t="s">
        <v>81</v>
      </c>
      <c r="G7" s="19" t="s">
        <v>82</v>
      </c>
      <c r="H7" s="19" t="s">
        <v>83</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2"/>
    <col collapsed="false" customWidth="true" hidden="false" outlineLevel="0" max="5" min="5" style="0" width="20"/>
    <col collapsed="false" customWidth="true" hidden="false" outlineLevel="0" max="6" min="6" style="0" width="22"/>
    <col collapsed="false" customWidth="true" hidden="false" outlineLevel="0" max="7" min="7" style="0" width="24"/>
    <col collapsed="false" customWidth="true" hidden="false" outlineLevel="0" max="8" min="8" style="0" width="28"/>
    <col collapsed="false" customWidth="true" hidden="false" outlineLevel="0" max="10" min="9" style="0" width="22"/>
    <col collapsed="false" customWidth="true" hidden="false" outlineLevel="0" max="11" min="11" style="0" width="38"/>
    <col collapsed="false" customWidth="true" hidden="false" outlineLevel="0" max="14" min="12" style="0" width="22"/>
  </cols>
  <sheetData>
    <row r="1" customFormat="false" ht="27.75" hidden="false" customHeight="true" outlineLevel="0" collapsed="false">
      <c r="A1" s="17" t="s">
        <v>84</v>
      </c>
      <c r="B1" s="17"/>
      <c r="C1" s="17"/>
      <c r="D1" s="17"/>
      <c r="E1" s="17"/>
      <c r="F1" s="17"/>
      <c r="G1" s="17"/>
      <c r="H1" s="17"/>
      <c r="I1" s="17"/>
      <c r="J1" s="17"/>
      <c r="K1" s="17"/>
      <c r="L1" s="17"/>
      <c r="M1" s="17"/>
      <c r="N1" s="17"/>
    </row>
    <row r="2" customFormat="false" ht="15" hidden="false" customHeight="false" outlineLevel="0" collapsed="false">
      <c r="A2" s="21" t="s">
        <v>85</v>
      </c>
      <c r="B2" s="21" t="s">
        <v>86</v>
      </c>
      <c r="C2" s="21" t="s">
        <v>87</v>
      </c>
      <c r="D2" s="21" t="s">
        <v>88</v>
      </c>
      <c r="E2" s="21" t="s">
        <v>89</v>
      </c>
      <c r="F2" s="21" t="s">
        <v>90</v>
      </c>
      <c r="G2" s="21" t="s">
        <v>91</v>
      </c>
      <c r="H2" s="21" t="s">
        <v>92</v>
      </c>
      <c r="I2" s="21" t="s">
        <v>93</v>
      </c>
      <c r="J2" s="21" t="s">
        <v>94</v>
      </c>
      <c r="K2" s="21" t="s">
        <v>95</v>
      </c>
      <c r="L2" s="21" t="s">
        <v>96</v>
      </c>
    </row>
    <row r="3" customFormat="false" ht="15" hidden="false" customHeight="false" outlineLevel="0" collapsed="false">
      <c r="A3" s="19" t="s">
        <v>97</v>
      </c>
      <c r="B3" s="20" t="s">
        <v>98</v>
      </c>
      <c r="C3" s="20" t="s">
        <v>99</v>
      </c>
      <c r="D3" s="20" t="s">
        <v>100</v>
      </c>
      <c r="E3" s="20" t="s">
        <v>101</v>
      </c>
      <c r="F3" s="20" t="s">
        <v>102</v>
      </c>
      <c r="G3" s="20" t="s">
        <v>103</v>
      </c>
      <c r="H3" s="20" t="s">
        <v>104</v>
      </c>
      <c r="I3" s="20" t="s">
        <v>105</v>
      </c>
      <c r="J3" s="20" t="s">
        <v>106</v>
      </c>
      <c r="K3" s="20" t="s">
        <v>107</v>
      </c>
      <c r="L3" s="20" t="s">
        <v>108</v>
      </c>
    </row>
    <row r="4" customFormat="false" ht="15" hidden="false" customHeight="false" outlineLevel="0" collapsed="false">
      <c r="A4" s="20" t="s">
        <v>109</v>
      </c>
      <c r="B4" s="20" t="s">
        <v>110</v>
      </c>
      <c r="C4" s="20" t="s">
        <v>111</v>
      </c>
      <c r="D4" s="20" t="s">
        <v>112</v>
      </c>
      <c r="E4" s="20" t="s">
        <v>113</v>
      </c>
      <c r="F4" s="20" t="s">
        <v>114</v>
      </c>
      <c r="G4" s="20" t="s">
        <v>115</v>
      </c>
      <c r="H4" s="20" t="s">
        <v>26</v>
      </c>
      <c r="I4" s="20" t="s">
        <v>116</v>
      </c>
      <c r="J4" s="20" t="s">
        <v>117</v>
      </c>
      <c r="K4" s="20" t="s">
        <v>118</v>
      </c>
      <c r="L4" s="20" t="s">
        <v>119</v>
      </c>
    </row>
    <row r="5" customFormat="false" ht="15" hidden="false" customHeight="false" outlineLevel="0" collapsed="false">
      <c r="A5" s="19" t="s">
        <v>113</v>
      </c>
      <c r="B5" s="20" t="s">
        <v>120</v>
      </c>
      <c r="C5" s="20" t="s">
        <v>121</v>
      </c>
      <c r="D5" s="20" t="s">
        <v>122</v>
      </c>
      <c r="E5" s="20" t="s">
        <v>123</v>
      </c>
      <c r="F5" s="20" t="s">
        <v>124</v>
      </c>
      <c r="G5" s="20" t="s">
        <v>125</v>
      </c>
      <c r="H5" s="20" t="s">
        <v>126</v>
      </c>
      <c r="I5" s="20" t="s">
        <v>127</v>
      </c>
      <c r="J5" s="20" t="s">
        <v>128</v>
      </c>
      <c r="K5" s="20" t="s">
        <v>129</v>
      </c>
      <c r="L5" s="20" t="s">
        <v>130</v>
      </c>
    </row>
    <row r="6" customFormat="false" ht="15" hidden="false" customHeight="false" outlineLevel="0" collapsed="false">
      <c r="A6" s="20" t="s">
        <v>131</v>
      </c>
      <c r="B6" s="20" t="s">
        <v>132</v>
      </c>
      <c r="C6" s="20" t="s">
        <v>133</v>
      </c>
      <c r="D6" s="20" t="s">
        <v>134</v>
      </c>
      <c r="E6" s="20" t="s">
        <v>135</v>
      </c>
      <c r="F6" s="20" t="s">
        <v>136</v>
      </c>
      <c r="G6" s="20" t="s">
        <v>137</v>
      </c>
      <c r="H6" s="20" t="s">
        <v>25</v>
      </c>
      <c r="I6" s="20" t="s">
        <v>138</v>
      </c>
      <c r="J6" s="20" t="s">
        <v>139</v>
      </c>
      <c r="K6" s="20" t="s">
        <v>140</v>
      </c>
    </row>
    <row r="7" customFormat="false" ht="15" hidden="false" customHeight="false" outlineLevel="0" collapsed="false">
      <c r="A7" s="19" t="s">
        <v>135</v>
      </c>
      <c r="B7" s="20" t="s">
        <v>141</v>
      </c>
      <c r="E7" s="20" t="s">
        <v>142</v>
      </c>
      <c r="F7" s="20" t="s">
        <v>143</v>
      </c>
      <c r="G7" s="20" t="s">
        <v>144</v>
      </c>
      <c r="H7" s="20" t="s">
        <v>145</v>
      </c>
      <c r="I7" s="20" t="s">
        <v>146</v>
      </c>
      <c r="J7" s="20" t="s">
        <v>147</v>
      </c>
      <c r="K7" s="20" t="s">
        <v>148</v>
      </c>
    </row>
    <row r="8" customFormat="false" ht="15" hidden="false" customHeight="false" outlineLevel="0" collapsed="false">
      <c r="A8" s="20" t="s">
        <v>142</v>
      </c>
      <c r="B8" s="20" t="s">
        <v>149</v>
      </c>
      <c r="F8" s="20" t="s">
        <v>150</v>
      </c>
      <c r="G8" s="20" t="s">
        <v>151</v>
      </c>
      <c r="H8" s="20" t="s">
        <v>152</v>
      </c>
      <c r="I8" s="20" t="s">
        <v>153</v>
      </c>
    </row>
    <row r="9" customFormat="false" ht="15" hidden="false" customHeight="false" outlineLevel="0" collapsed="false">
      <c r="F9" s="20" t="s">
        <v>154</v>
      </c>
      <c r="G9" s="20" t="s">
        <v>155</v>
      </c>
      <c r="H9" s="20" t="s">
        <v>156</v>
      </c>
      <c r="I9" s="20" t="s">
        <v>157</v>
      </c>
    </row>
    <row r="10" customFormat="false" ht="15" hidden="false" customHeight="false" outlineLevel="0" collapsed="false">
      <c r="F10" s="20" t="s">
        <v>158</v>
      </c>
      <c r="G10" s="20" t="s">
        <v>159</v>
      </c>
      <c r="H10" s="20" t="s">
        <v>160</v>
      </c>
    </row>
    <row r="11" customFormat="false" ht="15" hidden="false" customHeight="false" outlineLevel="0" collapsed="false">
      <c r="H11" s="20" t="s">
        <v>161</v>
      </c>
    </row>
    <row r="12" customFormat="false" ht="15" hidden="false" customHeight="false" outlineLevel="0" collapsed="false">
      <c r="H12" s="20" t="s">
        <v>162</v>
      </c>
    </row>
    <row r="13" customFormat="false" ht="15" hidden="false" customHeight="false" outlineLevel="0" collapsed="false">
      <c r="H13" s="20" t="s">
        <v>163</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5"/>
    <col collapsed="false" customWidth="true" hidden="false" outlineLevel="0" max="3" min="3" style="0" width="20"/>
    <col collapsed="false" customWidth="true" hidden="false" outlineLevel="0" max="4" min="4" style="0" width="22"/>
    <col collapsed="false" customWidth="true" hidden="false" outlineLevel="0" max="6" min="5" style="0" width="50"/>
    <col collapsed="false" customWidth="true" hidden="false" outlineLevel="0" max="7" min="7" style="0" width="40"/>
    <col collapsed="false" customWidth="true" hidden="false" outlineLevel="0" max="9" min="8" style="0" width="14"/>
    <col collapsed="false" customWidth="true" hidden="false" outlineLevel="0" max="10" min="10" style="0" width="20"/>
    <col collapsed="false" customWidth="true" hidden="false" outlineLevel="0" max="15" min="11" style="0" width="14"/>
    <col collapsed="false" customWidth="true" hidden="false" outlineLevel="0" max="16" min="16" style="0" width="28"/>
    <col collapsed="false" customWidth="true" hidden="false" outlineLevel="0" max="17" min="17" style="0" width="14"/>
    <col collapsed="false" customWidth="true" hidden="false" outlineLevel="0" max="22" min="18" style="0" width="18"/>
    <col collapsed="false" customWidth="true" hidden="false" outlineLevel="0" max="23" min="23" style="0" width="14"/>
    <col collapsed="false" customWidth="true" hidden="false" outlineLevel="0" max="24" min="24" style="0" width="28"/>
    <col collapsed="false" customWidth="true" hidden="false" outlineLevel="0" max="25" min="25" style="0" width="18"/>
    <col collapsed="false" customWidth="true" hidden="false" outlineLevel="0" max="26" min="26" style="0" width="50"/>
    <col collapsed="false" customWidth="true" hidden="false" outlineLevel="0" max="27" min="27" style="0" width="20"/>
    <col collapsed="false" customWidth="true" hidden="false" outlineLevel="0" max="28" min="28" style="0" width="14"/>
    <col collapsed="false" customWidth="true" hidden="false" outlineLevel="0" max="29" min="29" style="0" width="40"/>
    <col collapsed="false" customWidth="true" hidden="false" outlineLevel="0" max="30" min="30" style="0" width="14"/>
  </cols>
  <sheetData>
    <row r="1" customFormat="false" ht="27.75" hidden="false" customHeight="true" outlineLevel="0" collapsed="false">
      <c r="A1" s="17" t="s">
        <v>164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customFormat="false" ht="30" hidden="false" customHeight="true" outlineLevel="0" collapsed="false">
      <c r="A2" s="18" t="s">
        <v>165</v>
      </c>
      <c r="B2" s="18" t="s">
        <v>166</v>
      </c>
      <c r="C2" s="18" t="s">
        <v>167</v>
      </c>
      <c r="D2" s="18" t="s">
        <v>168</v>
      </c>
      <c r="E2" s="18" t="s">
        <v>169</v>
      </c>
      <c r="F2" s="18" t="s">
        <v>170</v>
      </c>
      <c r="G2" s="18" t="s">
        <v>171</v>
      </c>
      <c r="H2" s="18" t="s">
        <v>172</v>
      </c>
      <c r="I2" s="18" t="s">
        <v>173</v>
      </c>
      <c r="J2" s="18" t="s">
        <v>174</v>
      </c>
      <c r="K2" s="18" t="s">
        <v>175</v>
      </c>
      <c r="L2" s="18" t="s">
        <v>176</v>
      </c>
      <c r="M2" s="18" t="s">
        <v>177</v>
      </c>
      <c r="N2" s="18" t="s">
        <v>178</v>
      </c>
      <c r="O2" s="18" t="s">
        <v>179</v>
      </c>
      <c r="P2" s="18" t="s">
        <v>180</v>
      </c>
      <c r="Q2" s="18" t="s">
        <v>181</v>
      </c>
      <c r="R2" s="18" t="s">
        <v>182</v>
      </c>
      <c r="S2" s="18" t="s">
        <v>183</v>
      </c>
      <c r="T2" s="18" t="s">
        <v>184</v>
      </c>
      <c r="U2" s="18" t="s">
        <v>185</v>
      </c>
      <c r="V2" s="18" t="s">
        <v>186</v>
      </c>
      <c r="W2" s="18" t="s">
        <v>187</v>
      </c>
      <c r="X2" s="18" t="s">
        <v>188</v>
      </c>
      <c r="Y2" s="18" t="s">
        <v>189</v>
      </c>
      <c r="Z2" s="18" t="s">
        <v>190</v>
      </c>
      <c r="AA2" s="18" t="s">
        <v>191</v>
      </c>
      <c r="AB2" s="18" t="s">
        <v>192</v>
      </c>
      <c r="AC2" s="18" t="s">
        <v>193</v>
      </c>
      <c r="AD2" s="18" t="s">
        <v>194</v>
      </c>
    </row>
    <row r="3" customFormat="false" ht="23.85" hidden="false" customHeight="false" outlineLevel="0" collapsed="false">
      <c r="A3" s="19" t="s">
        <v>195</v>
      </c>
      <c r="B3" s="19" t="s">
        <v>196</v>
      </c>
      <c r="C3" s="19" t="s">
        <v>124</v>
      </c>
      <c r="D3" s="19" t="s">
        <v>197</v>
      </c>
      <c r="E3" s="19" t="s">
        <v>198</v>
      </c>
      <c r="F3" s="19" t="s">
        <v>199</v>
      </c>
      <c r="G3" s="19" t="s">
        <v>200</v>
      </c>
      <c r="H3" s="19" t="s">
        <v>112</v>
      </c>
      <c r="I3" s="19" t="s">
        <v>121</v>
      </c>
      <c r="J3" s="19" t="s">
        <v>201</v>
      </c>
      <c r="K3" s="19" t="s">
        <v>202</v>
      </c>
      <c r="L3" s="19" t="s">
        <v>203</v>
      </c>
      <c r="M3" s="19" t="s">
        <v>204</v>
      </c>
      <c r="N3" s="19"/>
      <c r="O3" s="19"/>
      <c r="P3" s="19" t="s">
        <v>205</v>
      </c>
      <c r="Q3" s="22" t="n">
        <v>0.1</v>
      </c>
      <c r="R3" s="23" t="n">
        <v>2129488.9</v>
      </c>
      <c r="S3" s="23" t="n">
        <v>2129488.9</v>
      </c>
      <c r="T3" s="23" t="n">
        <v>0</v>
      </c>
      <c r="U3" s="23" t="n">
        <v>0</v>
      </c>
      <c r="V3" s="19" t="n">
        <f aca="false">R3-T3</f>
        <v>2129488.9</v>
      </c>
      <c r="W3" s="19" t="n">
        <f aca="false">IFERROR((T3-R3)/R3,"")</f>
        <v>-1</v>
      </c>
      <c r="X3" s="19" t="s">
        <v>206</v>
      </c>
      <c r="Y3" s="19" t="s">
        <v>113</v>
      </c>
      <c r="Z3" s="19" t="s">
        <v>207</v>
      </c>
      <c r="AA3" s="19" t="s">
        <v>201</v>
      </c>
      <c r="AB3" s="19" t="s">
        <v>208</v>
      </c>
      <c r="AC3" s="19"/>
      <c r="AD3" s="19" t="s">
        <v>35</v>
      </c>
    </row>
    <row r="4" customFormat="false" ht="35.05" hidden="false" customHeight="false" outlineLevel="0" collapsed="false">
      <c r="A4" s="20" t="s">
        <v>209</v>
      </c>
      <c r="B4" s="20" t="s">
        <v>210</v>
      </c>
      <c r="C4" s="20" t="s">
        <v>124</v>
      </c>
      <c r="D4" s="20" t="s">
        <v>211</v>
      </c>
      <c r="E4" s="20" t="s">
        <v>212</v>
      </c>
      <c r="F4" s="20" t="s">
        <v>213</v>
      </c>
      <c r="G4" s="20" t="s">
        <v>214</v>
      </c>
      <c r="H4" s="20" t="s">
        <v>100</v>
      </c>
      <c r="I4" s="20" t="s">
        <v>99</v>
      </c>
      <c r="J4" s="20" t="s">
        <v>201</v>
      </c>
      <c r="K4" s="20" t="s">
        <v>202</v>
      </c>
      <c r="L4" s="20" t="s">
        <v>215</v>
      </c>
      <c r="M4" s="20" t="s">
        <v>216</v>
      </c>
      <c r="N4" s="20"/>
      <c r="O4" s="20"/>
      <c r="P4" s="20" t="s">
        <v>217</v>
      </c>
      <c r="Q4" s="24" t="n">
        <v>0.15</v>
      </c>
      <c r="R4" s="25" t="n">
        <v>40300000</v>
      </c>
      <c r="S4" s="25" t="n">
        <v>0</v>
      </c>
      <c r="T4" s="25" t="n">
        <v>0</v>
      </c>
      <c r="U4" s="25" t="n">
        <v>0</v>
      </c>
      <c r="V4" s="20" t="n">
        <f aca="false">R4-T4</f>
        <v>40300000</v>
      </c>
      <c r="W4" s="20" t="n">
        <f aca="false">IFERROR((T4-R4)/R4,"")</f>
        <v>-1</v>
      </c>
      <c r="X4" s="20" t="s">
        <v>218</v>
      </c>
      <c r="Y4" s="20" t="s">
        <v>113</v>
      </c>
      <c r="Z4" s="20" t="s">
        <v>219</v>
      </c>
      <c r="AA4" s="20" t="s">
        <v>201</v>
      </c>
      <c r="AB4" s="20" t="s">
        <v>208</v>
      </c>
      <c r="AC4" s="20" t="s">
        <v>220</v>
      </c>
      <c r="AD4" s="20" t="s">
        <v>35</v>
      </c>
    </row>
  </sheetData>
  <mergeCells count="1">
    <mergeCell ref="A1:AD1"/>
  </mergeCells>
  <conditionalFormatting sqref="Y3:Y4">
    <cfRule type="expression" priority="2" aboveAverage="0" equalAverage="0" bottom="0" percent="0" rank="0" text="" dxfId="6">
      <formula>$Y3="Tamamlandı"</formula>
    </cfRule>
    <cfRule type="expression" priority="3" aboveAverage="0" equalAverage="0" bottom="0" percent="0" rank="0" text="" dxfId="7">
      <formula>$Y3="Devam Ediyor"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40"/>
    <col collapsed="false" customWidth="true" hidden="false" outlineLevel="0" max="4" min="4" style="0" width="60"/>
    <col collapsed="false" customWidth="true" hidden="false" outlineLevel="0" max="6" min="5" style="0" width="20"/>
    <col collapsed="false" customWidth="true" hidden="false" outlineLevel="0" max="8" min="7" style="0" width="14"/>
    <col collapsed="false" customWidth="true" hidden="false" outlineLevel="0" max="9" min="9" style="0" width="16"/>
    <col collapsed="false" customWidth="true" hidden="false" outlineLevel="0" max="12" min="10" style="0" width="14"/>
    <col collapsed="false" customWidth="true" hidden="false" outlineLevel="0" max="13" min="13" style="0" width="50"/>
    <col collapsed="false" customWidth="true" hidden="false" outlineLevel="0" max="14" min="14" style="0" width="14"/>
  </cols>
  <sheetData>
    <row r="1" customFormat="false" ht="27.75" hidden="false" customHeight="true" outlineLevel="0" collapsed="false">
      <c r="A1" s="17" t="s">
        <v>221</v>
      </c>
      <c r="B1" s="17"/>
      <c r="C1" s="17"/>
      <c r="D1" s="17"/>
      <c r="E1" s="17"/>
      <c r="F1" s="17"/>
      <c r="G1" s="17"/>
      <c r="H1" s="17"/>
      <c r="I1" s="17"/>
      <c r="J1" s="17"/>
      <c r="K1" s="17"/>
      <c r="L1" s="17"/>
      <c r="M1" s="17"/>
      <c r="N1" s="17"/>
    </row>
    <row r="2" customFormat="false" ht="30" hidden="false" customHeight="true" outlineLevel="0" collapsed="false">
      <c r="A2" s="18" t="s">
        <v>222</v>
      </c>
      <c r="B2" s="18" t="s">
        <v>165</v>
      </c>
      <c r="C2" s="18" t="s">
        <v>166</v>
      </c>
      <c r="D2" s="18" t="s">
        <v>223</v>
      </c>
      <c r="E2" s="18" t="s">
        <v>168</v>
      </c>
      <c r="F2" s="18" t="s">
        <v>174</v>
      </c>
      <c r="G2" s="18" t="s">
        <v>224</v>
      </c>
      <c r="H2" s="18" t="s">
        <v>225</v>
      </c>
      <c r="I2" s="18" t="s">
        <v>189</v>
      </c>
      <c r="J2" s="18" t="s">
        <v>172</v>
      </c>
      <c r="K2" s="18" t="s">
        <v>226</v>
      </c>
      <c r="L2" s="18" t="s">
        <v>227</v>
      </c>
      <c r="M2" s="18" t="s">
        <v>228</v>
      </c>
      <c r="N2" s="18" t="s">
        <v>229</v>
      </c>
    </row>
    <row r="3" customFormat="false" ht="23.85" hidden="false" customHeight="false" outlineLevel="0" collapsed="false">
      <c r="A3" s="20" t="s">
        <v>230</v>
      </c>
      <c r="B3" s="20" t="s">
        <v>195</v>
      </c>
      <c r="C3" s="20" t="str">
        <f aca="false">IFERROR(INDEX(Projeler!B:B,MATCH(B3,Projeler!A:A,0)),"")</f>
        <v>Pilot Reaktör Odası Taşınması</v>
      </c>
      <c r="D3" s="20" t="s">
        <v>231</v>
      </c>
      <c r="E3" s="20" t="s">
        <v>232</v>
      </c>
      <c r="F3" s="20" t="s">
        <v>201</v>
      </c>
      <c r="G3" s="26" t="n">
        <v>46296</v>
      </c>
      <c r="H3" s="26" t="n">
        <v>46325</v>
      </c>
      <c r="I3" s="20" t="s">
        <v>101</v>
      </c>
      <c r="J3" s="20" t="s">
        <v>100</v>
      </c>
      <c r="K3" s="20"/>
      <c r="L3" s="20" t="str">
        <f aca="true">IF(OR(I3="Tamamlandı",I3="İptal"),"",IF(TODAY()-H3&gt;0,TODAY()-H3,""))</f>
        <v/>
      </c>
      <c r="M3" s="20" t="s">
        <v>233</v>
      </c>
      <c r="N3" s="26" t="n">
        <v>46304</v>
      </c>
    </row>
    <row r="4" customFormat="false" ht="15" hidden="false" customHeight="false" outlineLevel="0" collapsed="false">
      <c r="A4" s="20" t="s">
        <v>234</v>
      </c>
      <c r="B4" s="20" t="s">
        <v>195</v>
      </c>
      <c r="C4" s="20" t="str">
        <f aca="false">IFERROR(INDEX(Projeler!B:B,MATCH(B4,Projeler!A:A,0)),"")</f>
        <v>Pilot Reaktör Odası Taşınması</v>
      </c>
      <c r="D4" s="20" t="s">
        <v>235</v>
      </c>
      <c r="E4" s="20" t="s">
        <v>236</v>
      </c>
      <c r="F4" s="20" t="s">
        <v>201</v>
      </c>
      <c r="G4" s="26" t="n">
        <v>46296</v>
      </c>
      <c r="H4" s="26" t="n">
        <v>46325</v>
      </c>
      <c r="I4" s="20" t="s">
        <v>101</v>
      </c>
      <c r="J4" s="20" t="s">
        <v>112</v>
      </c>
      <c r="K4" s="20"/>
      <c r="L4" s="20" t="str">
        <f aca="true">IF(OR(I4="Tamamlandı",I4="İptal"),"",IF(TODAY()-H4&gt;0,TODAY()-H4,""))</f>
        <v/>
      </c>
      <c r="M4" s="20" t="s">
        <v>237</v>
      </c>
      <c r="N4" s="26" t="n">
        <v>46304</v>
      </c>
    </row>
    <row r="5" customFormat="false" ht="23.85" hidden="false" customHeight="false" outlineLevel="0" collapsed="false">
      <c r="A5" s="20" t="s">
        <v>238</v>
      </c>
      <c r="B5" s="20" t="s">
        <v>195</v>
      </c>
      <c r="C5" s="20" t="str">
        <f aca="false">IFERROR(INDEX(Projeler!B:B,MATCH(B5,Projeler!A:A,0)),"")</f>
        <v>Pilot Reaktör Odası Taşınması</v>
      </c>
      <c r="D5" s="20" t="s">
        <v>239</v>
      </c>
      <c r="E5" s="20" t="s">
        <v>240</v>
      </c>
      <c r="F5" s="20" t="s">
        <v>201</v>
      </c>
      <c r="G5" s="26" t="n">
        <v>46296</v>
      </c>
      <c r="H5" s="26" t="n">
        <v>46326</v>
      </c>
      <c r="I5" s="20" t="s">
        <v>101</v>
      </c>
      <c r="J5" s="20" t="s">
        <v>122</v>
      </c>
      <c r="K5" s="20"/>
      <c r="L5" s="20" t="str">
        <f aca="true">IF(OR(I5="Tamamlandı",I5="İptal"),"",IF(TODAY()-H5&gt;0,TODAY()-H5,""))</f>
        <v/>
      </c>
      <c r="M5" s="20" t="s">
        <v>241</v>
      </c>
      <c r="N5" s="26" t="n">
        <v>46304</v>
      </c>
    </row>
    <row r="6" customFormat="false" ht="15" hidden="false" customHeight="false" outlineLevel="0" collapsed="false">
      <c r="A6" s="20" t="s">
        <v>242</v>
      </c>
      <c r="B6" s="20" t="s">
        <v>195</v>
      </c>
      <c r="C6" s="20" t="str">
        <f aca="false">IFERROR(INDEX(Projeler!B:B,MATCH(B6,Projeler!A:A,0)),"")</f>
        <v>Pilot Reaktör Odası Taşınması</v>
      </c>
      <c r="D6" s="20" t="s">
        <v>243</v>
      </c>
      <c r="E6" s="20" t="s">
        <v>244</v>
      </c>
      <c r="F6" s="20" t="s">
        <v>201</v>
      </c>
      <c r="G6" s="26" t="n">
        <v>46327</v>
      </c>
      <c r="H6" s="26" t="n">
        <v>46357</v>
      </c>
      <c r="I6" s="20" t="s">
        <v>101</v>
      </c>
      <c r="J6" s="20" t="s">
        <v>112</v>
      </c>
      <c r="K6" s="20"/>
      <c r="L6" s="20" t="str">
        <f aca="true">IF(OR(I6="Tamamlandı",I6="İptal"),"",IF(TODAY()-H6&gt;0,TODAY()-H6,""))</f>
        <v/>
      </c>
      <c r="M6" s="20" t="s">
        <v>245</v>
      </c>
      <c r="N6" s="26" t="n">
        <v>46304</v>
      </c>
    </row>
    <row r="7" customFormat="false" ht="23.85" hidden="false" customHeight="false" outlineLevel="0" collapsed="false">
      <c r="A7" s="20" t="s">
        <v>246</v>
      </c>
      <c r="B7" s="20" t="s">
        <v>209</v>
      </c>
      <c r="C7" s="20" t="str">
        <f aca="false">IFERROR(INDEX(Projeler!B:B,MATCH(B7,Projeler!A:A,0)),"")</f>
        <v>Reçine Tesisi Reaktör Acil Durum Drain (Dump) Sistemi</v>
      </c>
      <c r="D7" s="20" t="s">
        <v>247</v>
      </c>
      <c r="E7" s="20" t="s">
        <v>248</v>
      </c>
      <c r="F7" s="20" t="s">
        <v>201</v>
      </c>
      <c r="G7" s="26" t="n">
        <v>46304</v>
      </c>
      <c r="H7" s="26" t="n">
        <v>46325</v>
      </c>
      <c r="I7" s="20" t="s">
        <v>101</v>
      </c>
      <c r="J7" s="20" t="s">
        <v>100</v>
      </c>
      <c r="K7" s="20"/>
      <c r="L7" s="20" t="str">
        <f aca="true">IF(OR(I7="Tamamlandı",I7="İptal"),"",IF(TODAY()-H7&gt;0,TODAY()-H7,""))</f>
        <v/>
      </c>
      <c r="M7" s="20" t="s">
        <v>249</v>
      </c>
      <c r="N7" s="26" t="n">
        <v>46304</v>
      </c>
    </row>
    <row r="8" customFormat="false" ht="23.85" hidden="false" customHeight="false" outlineLevel="0" collapsed="false">
      <c r="A8" s="20" t="s">
        <v>250</v>
      </c>
      <c r="B8" s="20" t="s">
        <v>209</v>
      </c>
      <c r="C8" s="20" t="str">
        <f aca="false">IFERROR(INDEX(Projeler!B:B,MATCH(B8,Projeler!A:A,0)),"")</f>
        <v>Reçine Tesisi Reaktör Acil Durum Drain (Dump) Sistemi</v>
      </c>
      <c r="D8" s="20" t="s">
        <v>251</v>
      </c>
      <c r="E8" s="20" t="s">
        <v>252</v>
      </c>
      <c r="F8" s="20" t="s">
        <v>201</v>
      </c>
      <c r="G8" s="26" t="n">
        <v>46304</v>
      </c>
      <c r="H8" s="26" t="n">
        <v>46326</v>
      </c>
      <c r="I8" s="20" t="s">
        <v>101</v>
      </c>
      <c r="J8" s="20" t="s">
        <v>100</v>
      </c>
      <c r="K8" s="20"/>
      <c r="L8" s="20" t="str">
        <f aca="true">IF(OR(I8="Tamamlandı",I8="İptal"),"",IF(TODAY()-H8&gt;0,TODAY()-H8,""))</f>
        <v/>
      </c>
      <c r="M8" s="20" t="s">
        <v>253</v>
      </c>
      <c r="N8" s="26" t="n">
        <v>46304</v>
      </c>
    </row>
    <row r="9" customFormat="false" ht="23.85" hidden="false" customHeight="false" outlineLevel="0" collapsed="false">
      <c r="A9" s="20" t="s">
        <v>254</v>
      </c>
      <c r="B9" s="20" t="s">
        <v>209</v>
      </c>
      <c r="C9" s="20" t="str">
        <f aca="false">IFERROR(INDEX(Projeler!B:B,MATCH(B9,Projeler!A:A,0)),"")</f>
        <v>Reçine Tesisi Reaktör Acil Durum Drain (Dump) Sistemi</v>
      </c>
      <c r="D9" s="20" t="s">
        <v>255</v>
      </c>
      <c r="E9" s="20" t="s">
        <v>256</v>
      </c>
      <c r="F9" s="20" t="s">
        <v>201</v>
      </c>
      <c r="G9" s="26" t="n">
        <v>46327</v>
      </c>
      <c r="H9" s="26" t="n">
        <v>46419</v>
      </c>
      <c r="I9" s="20" t="s">
        <v>101</v>
      </c>
      <c r="J9" s="20" t="s">
        <v>100</v>
      </c>
      <c r="K9" s="20"/>
      <c r="L9" s="20" t="str">
        <f aca="true">IF(OR(I9="Tamamlandı",I9="İptal"),"",IF(TODAY()-H9&gt;0,TODAY()-H9,""))</f>
        <v/>
      </c>
      <c r="M9" s="20" t="s">
        <v>257</v>
      </c>
      <c r="N9" s="26" t="n">
        <v>46304</v>
      </c>
    </row>
    <row r="10" customFormat="false" ht="23.85" hidden="false" customHeight="false" outlineLevel="0" collapsed="false">
      <c r="A10" s="20" t="s">
        <v>258</v>
      </c>
      <c r="B10" s="20" t="s">
        <v>209</v>
      </c>
      <c r="C10" s="20" t="str">
        <f aca="false">IFERROR(INDEX(Projeler!B:B,MATCH(B10,Projeler!A:A,0)),"")</f>
        <v>Reçine Tesisi Reaktör Acil Durum Drain (Dump) Sistemi</v>
      </c>
      <c r="D10" s="20" t="s">
        <v>259</v>
      </c>
      <c r="E10" s="20" t="s">
        <v>248</v>
      </c>
      <c r="F10" s="20" t="s">
        <v>201</v>
      </c>
      <c r="G10" s="26" t="n">
        <v>46304</v>
      </c>
      <c r="H10" s="26" t="n">
        <v>46326</v>
      </c>
      <c r="I10" s="20" t="s">
        <v>101</v>
      </c>
      <c r="J10" s="20" t="s">
        <v>112</v>
      </c>
      <c r="K10" s="20"/>
      <c r="L10" s="20" t="str">
        <f aca="true">IF(OR(I10="Tamamlandı",I10="İptal"),"",IF(TODAY()-H10&gt;0,TODAY()-H10,""))</f>
        <v/>
      </c>
      <c r="M10" s="20" t="s">
        <v>260</v>
      </c>
      <c r="N10" s="26" t="n">
        <v>46304</v>
      </c>
    </row>
    <row r="11" customFormat="false" ht="23.85" hidden="false" customHeight="false" outlineLevel="0" collapsed="false">
      <c r="A11" s="20" t="s">
        <v>261</v>
      </c>
      <c r="B11" s="20" t="s">
        <v>209</v>
      </c>
      <c r="C11" s="20" t="str">
        <f aca="false">IFERROR(INDEX(Projeler!B:B,MATCH(B11,Projeler!A:A,0)),"")</f>
        <v>Reçine Tesisi Reaktör Acil Durum Drain (Dump) Sistemi</v>
      </c>
      <c r="D11" s="20" t="s">
        <v>262</v>
      </c>
      <c r="E11" s="20" t="s">
        <v>263</v>
      </c>
      <c r="F11" s="20" t="s">
        <v>201</v>
      </c>
      <c r="G11" s="26" t="n">
        <v>46327</v>
      </c>
      <c r="H11" s="26" t="n">
        <v>46357</v>
      </c>
      <c r="I11" s="20" t="s">
        <v>101</v>
      </c>
      <c r="J11" s="20" t="s">
        <v>100</v>
      </c>
      <c r="K11" s="20"/>
      <c r="L11" s="20" t="str">
        <f aca="true">IF(OR(I11="Tamamlandı",I11="İptal"),"",IF(TODAY()-H11&gt;0,TODAY()-H11,""))</f>
        <v/>
      </c>
      <c r="M11" s="20"/>
      <c r="N11" s="26" t="n">
        <v>46304</v>
      </c>
    </row>
    <row r="12" customFormat="false" ht="23.85" hidden="false" customHeight="false" outlineLevel="0" collapsed="false">
      <c r="A12" s="20" t="s">
        <v>264</v>
      </c>
      <c r="B12" s="20" t="s">
        <v>209</v>
      </c>
      <c r="C12" s="20" t="str">
        <f aca="false">IFERROR(INDEX(Projeler!B:B,MATCH(B12,Projeler!A:A,0)),"")</f>
        <v>Reçine Tesisi Reaktör Acil Durum Drain (Dump) Sistemi</v>
      </c>
      <c r="D12" s="20" t="s">
        <v>265</v>
      </c>
      <c r="E12" s="20" t="s">
        <v>244</v>
      </c>
      <c r="F12" s="20" t="s">
        <v>201</v>
      </c>
      <c r="G12" s="26" t="n">
        <v>46327</v>
      </c>
      <c r="H12" s="26" t="n">
        <v>46357</v>
      </c>
      <c r="I12" s="20" t="s">
        <v>101</v>
      </c>
      <c r="J12" s="20" t="s">
        <v>112</v>
      </c>
      <c r="K12" s="20"/>
      <c r="L12" s="20" t="str">
        <f aca="true">IF(OR(I12="Tamamlandı",I12="İptal"),"",IF(TODAY()-H12&gt;0,TODAY()-H12,""))</f>
        <v/>
      </c>
      <c r="M12" s="20" t="s">
        <v>266</v>
      </c>
      <c r="N12" s="26" t="n">
        <v>46304</v>
      </c>
    </row>
    <row r="13" customFormat="false" ht="23.85" hidden="false" customHeight="false" outlineLevel="0" collapsed="false">
      <c r="A13" s="20" t="s">
        <v>267</v>
      </c>
      <c r="B13" s="20" t="s">
        <v>209</v>
      </c>
      <c r="C13" s="20" t="str">
        <f aca="false">IFERROR(INDEX(Projeler!B:B,MATCH(B13,Projeler!A:A,0)),"")</f>
        <v>Reçine Tesisi Reaktör Acil Durum Drain (Dump) Sistemi</v>
      </c>
      <c r="D13" s="20" t="s">
        <v>268</v>
      </c>
      <c r="E13" s="20" t="s">
        <v>269</v>
      </c>
      <c r="F13" s="20" t="s">
        <v>201</v>
      </c>
      <c r="G13" s="26" t="n">
        <v>46327</v>
      </c>
      <c r="H13" s="26" t="n">
        <v>46388</v>
      </c>
      <c r="I13" s="20" t="s">
        <v>101</v>
      </c>
      <c r="J13" s="20" t="s">
        <v>112</v>
      </c>
      <c r="K13" s="20"/>
      <c r="L13" s="20" t="str">
        <f aca="true">IF(OR(I13="Tamamlandı",I13="İptal"),"",IF(TODAY()-H13&gt;0,TODAY()-H13,""))</f>
        <v/>
      </c>
      <c r="M13" s="20"/>
      <c r="N13" s="26" t="n">
        <v>46304</v>
      </c>
    </row>
  </sheetData>
  <mergeCells count="1">
    <mergeCell ref="A1:N1"/>
  </mergeCells>
  <conditionalFormatting sqref="I3:I13">
    <cfRule type="expression" priority="2" aboveAverage="0" equalAverage="0" bottom="0" percent="0" rank="0" text="" dxfId="8">
      <formula>AND($I3&lt;&gt;"Tamamlandı",$I3&lt;&gt;"İptal",TODAY()&gt;$H3)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P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5"/>
    <col collapsed="false" customWidth="true" hidden="false" outlineLevel="0" max="3" min="3" style="0" width="14"/>
    <col collapsed="false" customWidth="true" hidden="false" outlineLevel="0" max="4" min="4" style="0" width="20"/>
    <col collapsed="false" customWidth="true" hidden="false" outlineLevel="0" max="5" min="5" style="0" width="22"/>
    <col collapsed="false" customWidth="true" hidden="false" outlineLevel="0" max="7" min="6" style="0" width="20"/>
    <col collapsed="false" customWidth="true" hidden="false" outlineLevel="0" max="10" min="8" style="0" width="14"/>
    <col collapsed="false" customWidth="true" hidden="false" outlineLevel="0" max="11" min="11" style="0" width="16"/>
    <col collapsed="false" customWidth="true" hidden="false" outlineLevel="0" max="14" min="12" style="0" width="40"/>
    <col collapsed="false" customWidth="true" hidden="false" outlineLevel="0" max="15" min="15" style="0" width="14"/>
    <col collapsed="false" customWidth="true" hidden="false" outlineLevel="0" max="16" min="16" style="0" width="40"/>
  </cols>
  <sheetData>
    <row r="1" customFormat="false" ht="27.75" hidden="false" customHeight="true" outlineLevel="0" collapsed="false">
      <c r="A1" s="17" t="s">
        <v>270</v>
      </c>
      <c r="B1" s="17"/>
      <c r="C1" s="17"/>
      <c r="D1" s="17"/>
      <c r="E1" s="17"/>
      <c r="F1" s="17"/>
      <c r="G1" s="17"/>
      <c r="H1" s="17"/>
      <c r="I1" s="17"/>
      <c r="J1" s="17"/>
      <c r="K1" s="17"/>
      <c r="L1" s="17"/>
      <c r="M1" s="17"/>
      <c r="N1" s="17"/>
      <c r="O1" s="17"/>
      <c r="P1" s="17"/>
    </row>
    <row r="2" customFormat="false" ht="30" hidden="false" customHeight="true" outlineLevel="0" collapsed="false">
      <c r="A2" s="18" t="s">
        <v>271</v>
      </c>
      <c r="B2" s="18" t="s">
        <v>272</v>
      </c>
      <c r="C2" s="18" t="s">
        <v>273</v>
      </c>
      <c r="D2" s="18" t="s">
        <v>274</v>
      </c>
      <c r="E2" s="18" t="s">
        <v>275</v>
      </c>
      <c r="F2" s="18" t="s">
        <v>276</v>
      </c>
      <c r="G2" s="18" t="s">
        <v>174</v>
      </c>
      <c r="H2" s="18" t="s">
        <v>224</v>
      </c>
      <c r="I2" s="18" t="s">
        <v>225</v>
      </c>
      <c r="J2" s="18" t="s">
        <v>172</v>
      </c>
      <c r="K2" s="18" t="s">
        <v>189</v>
      </c>
      <c r="L2" s="18" t="s">
        <v>277</v>
      </c>
      <c r="M2" s="18" t="s">
        <v>278</v>
      </c>
      <c r="N2" s="18" t="s">
        <v>279</v>
      </c>
      <c r="O2" s="18" t="s">
        <v>280</v>
      </c>
      <c r="P2" s="18" t="s">
        <v>228</v>
      </c>
    </row>
    <row r="3" customFormat="false" ht="23.85" hidden="false" customHeight="false" outlineLevel="0" collapsed="false">
      <c r="A3" s="19" t="s">
        <v>281</v>
      </c>
      <c r="B3" s="19" t="s">
        <v>282</v>
      </c>
      <c r="C3" s="19" t="s">
        <v>209</v>
      </c>
      <c r="D3" s="19" t="s">
        <v>283</v>
      </c>
      <c r="E3" s="19" t="s">
        <v>284</v>
      </c>
      <c r="F3" s="19" t="s">
        <v>285</v>
      </c>
      <c r="G3" s="19" t="s">
        <v>201</v>
      </c>
      <c r="H3" s="19" t="s">
        <v>286</v>
      </c>
      <c r="I3" s="19" t="s">
        <v>208</v>
      </c>
      <c r="J3" s="19" t="s">
        <v>100</v>
      </c>
      <c r="K3" s="19" t="s">
        <v>101</v>
      </c>
      <c r="L3" s="19" t="s">
        <v>287</v>
      </c>
      <c r="M3" s="19"/>
      <c r="N3" s="19" t="s">
        <v>288</v>
      </c>
      <c r="O3" s="19"/>
      <c r="P3" s="19"/>
    </row>
    <row r="4" customFormat="false" ht="23.85" hidden="false" customHeight="false" outlineLevel="0" collapsed="false">
      <c r="A4" s="20" t="s">
        <v>289</v>
      </c>
      <c r="B4" s="20" t="s">
        <v>290</v>
      </c>
      <c r="C4" s="20" t="s">
        <v>209</v>
      </c>
      <c r="D4" s="20" t="s">
        <v>291</v>
      </c>
      <c r="E4" s="20" t="s">
        <v>292</v>
      </c>
      <c r="F4" s="20" t="s">
        <v>285</v>
      </c>
      <c r="G4" s="20" t="s">
        <v>201</v>
      </c>
      <c r="H4" s="20" t="s">
        <v>286</v>
      </c>
      <c r="I4" s="20" t="s">
        <v>293</v>
      </c>
      <c r="J4" s="20" t="s">
        <v>100</v>
      </c>
      <c r="K4" s="20" t="s">
        <v>101</v>
      </c>
      <c r="L4" s="20" t="s">
        <v>294</v>
      </c>
      <c r="M4" s="20"/>
      <c r="N4" s="20" t="s">
        <v>295</v>
      </c>
      <c r="O4" s="20"/>
      <c r="P4" s="20"/>
    </row>
    <row r="5" customFormat="false" ht="23.85" hidden="false" customHeight="false" outlineLevel="0" collapsed="false">
      <c r="A5" s="19" t="s">
        <v>296</v>
      </c>
      <c r="B5" s="19" t="s">
        <v>297</v>
      </c>
      <c r="C5" s="19"/>
      <c r="D5" s="19" t="s">
        <v>298</v>
      </c>
      <c r="E5" s="19" t="s">
        <v>299</v>
      </c>
      <c r="F5" s="19" t="s">
        <v>300</v>
      </c>
      <c r="G5" s="19" t="s">
        <v>201</v>
      </c>
      <c r="H5" s="19" t="s">
        <v>203</v>
      </c>
      <c r="I5" s="19" t="s">
        <v>301</v>
      </c>
      <c r="J5" s="19" t="s">
        <v>112</v>
      </c>
      <c r="K5" s="19" t="s">
        <v>101</v>
      </c>
      <c r="L5" s="19" t="s">
        <v>302</v>
      </c>
      <c r="M5" s="19" t="s">
        <v>303</v>
      </c>
      <c r="N5" s="19" t="s">
        <v>304</v>
      </c>
      <c r="O5" s="19"/>
      <c r="P5" s="19"/>
    </row>
    <row r="6" customFormat="false" ht="23.85" hidden="false" customHeight="false" outlineLevel="0" collapsed="false">
      <c r="A6" s="20" t="s">
        <v>305</v>
      </c>
      <c r="B6" s="20" t="s">
        <v>306</v>
      </c>
      <c r="C6" s="20"/>
      <c r="D6" s="20" t="s">
        <v>307</v>
      </c>
      <c r="E6" s="20" t="s">
        <v>299</v>
      </c>
      <c r="F6" s="20" t="s">
        <v>300</v>
      </c>
      <c r="G6" s="20" t="s">
        <v>201</v>
      </c>
      <c r="H6" s="20" t="s">
        <v>203</v>
      </c>
      <c r="I6" s="20" t="s">
        <v>293</v>
      </c>
      <c r="J6" s="20" t="s">
        <v>122</v>
      </c>
      <c r="K6" s="20" t="s">
        <v>101</v>
      </c>
      <c r="L6" s="20"/>
      <c r="M6" s="20" t="s">
        <v>308</v>
      </c>
      <c r="N6" s="20" t="s">
        <v>309</v>
      </c>
      <c r="O6" s="20"/>
      <c r="P6" s="20"/>
    </row>
    <row r="7" customFormat="false" ht="35.05" hidden="false" customHeight="false" outlineLevel="0" collapsed="false">
      <c r="A7" s="19" t="s">
        <v>310</v>
      </c>
      <c r="B7" s="19" t="s">
        <v>311</v>
      </c>
      <c r="C7" s="19"/>
      <c r="D7" s="19" t="s">
        <v>312</v>
      </c>
      <c r="E7" s="19" t="s">
        <v>313</v>
      </c>
      <c r="F7" s="19" t="s">
        <v>314</v>
      </c>
      <c r="G7" s="19" t="s">
        <v>201</v>
      </c>
      <c r="H7" s="19" t="s">
        <v>203</v>
      </c>
      <c r="I7" s="19" t="s">
        <v>293</v>
      </c>
      <c r="J7" s="19" t="s">
        <v>100</v>
      </c>
      <c r="K7" s="19" t="s">
        <v>101</v>
      </c>
      <c r="L7" s="19" t="s">
        <v>315</v>
      </c>
      <c r="M7" s="19" t="s">
        <v>316</v>
      </c>
      <c r="N7" s="19" t="s">
        <v>317</v>
      </c>
      <c r="O7" s="19"/>
      <c r="P7" s="19"/>
    </row>
    <row r="8" customFormat="false" ht="23.85" hidden="false" customHeight="false" outlineLevel="0" collapsed="false">
      <c r="A8" s="20" t="s">
        <v>318</v>
      </c>
      <c r="B8" s="20" t="s">
        <v>319</v>
      </c>
      <c r="C8" s="20" t="s">
        <v>209</v>
      </c>
      <c r="D8" s="20"/>
      <c r="E8" s="20" t="s">
        <v>320</v>
      </c>
      <c r="F8" s="20" t="s">
        <v>321</v>
      </c>
      <c r="G8" s="20" t="s">
        <v>201</v>
      </c>
      <c r="H8" s="20" t="s">
        <v>203</v>
      </c>
      <c r="I8" s="20" t="s">
        <v>322</v>
      </c>
      <c r="J8" s="20" t="s">
        <v>100</v>
      </c>
      <c r="K8" s="20" t="s">
        <v>101</v>
      </c>
      <c r="L8" s="20" t="s">
        <v>323</v>
      </c>
      <c r="M8" s="20"/>
      <c r="N8" s="20" t="s">
        <v>324</v>
      </c>
      <c r="O8" s="20"/>
      <c r="P8" s="20"/>
    </row>
    <row r="9" customFormat="false" ht="15" hidden="false" customHeight="false" outlineLevel="0" collapsed="false">
      <c r="A9" s="20"/>
      <c r="B9" s="20"/>
      <c r="C9" s="20"/>
      <c r="D9" s="20"/>
      <c r="E9" s="20"/>
      <c r="F9" s="20"/>
      <c r="G9" s="20"/>
      <c r="H9" s="27"/>
      <c r="I9" s="27"/>
      <c r="J9" s="20"/>
      <c r="K9" s="20"/>
      <c r="L9" s="20"/>
      <c r="M9" s="20"/>
      <c r="N9" s="20"/>
      <c r="O9" s="20"/>
      <c r="P9" s="20"/>
    </row>
    <row r="10" customFormat="false" ht="15" hidden="false" customHeight="false" outlineLevel="0" collapsed="false">
      <c r="A10" s="20"/>
      <c r="B10" s="20"/>
      <c r="C10" s="20"/>
      <c r="D10" s="20"/>
      <c r="E10" s="20"/>
      <c r="F10" s="20"/>
      <c r="G10" s="20"/>
      <c r="H10" s="27"/>
      <c r="I10" s="27"/>
      <c r="J10" s="20"/>
      <c r="K10" s="20"/>
      <c r="L10" s="20"/>
      <c r="M10" s="20"/>
      <c r="N10" s="20"/>
      <c r="O10" s="20"/>
      <c r="P10" s="20"/>
    </row>
    <row r="11" customFormat="false" ht="15" hidden="false" customHeight="false" outlineLevel="0" collapsed="false">
      <c r="A11" s="20"/>
      <c r="B11" s="20"/>
      <c r="C11" s="20"/>
      <c r="D11" s="20"/>
      <c r="E11" s="20"/>
      <c r="F11" s="20"/>
      <c r="G11" s="20"/>
      <c r="H11" s="27"/>
      <c r="I11" s="27"/>
      <c r="J11" s="20"/>
      <c r="K11" s="20"/>
      <c r="L11" s="20"/>
      <c r="M11" s="20"/>
      <c r="N11" s="20"/>
      <c r="O11" s="20"/>
      <c r="P11" s="20"/>
    </row>
    <row r="12" customFormat="false" ht="15" hidden="false" customHeight="false" outlineLevel="0" collapsed="false">
      <c r="A12" s="20"/>
      <c r="B12" s="20"/>
      <c r="C12" s="20"/>
      <c r="D12" s="20"/>
      <c r="E12" s="20"/>
      <c r="F12" s="20"/>
      <c r="G12" s="20"/>
      <c r="H12" s="27"/>
      <c r="I12" s="27"/>
      <c r="J12" s="20"/>
      <c r="K12" s="20"/>
      <c r="L12" s="20"/>
      <c r="M12" s="20"/>
      <c r="N12" s="20"/>
      <c r="O12" s="20"/>
      <c r="P12" s="20"/>
    </row>
    <row r="13" customFormat="false" ht="15" hidden="false" customHeight="false" outlineLevel="0" collapsed="false">
      <c r="A13" s="20"/>
      <c r="B13" s="20"/>
      <c r="C13" s="20"/>
      <c r="D13" s="20"/>
      <c r="E13" s="20"/>
      <c r="F13" s="20"/>
      <c r="G13" s="20"/>
      <c r="H13" s="27"/>
      <c r="I13" s="27"/>
      <c r="J13" s="20"/>
      <c r="K13" s="20"/>
      <c r="L13" s="20"/>
      <c r="M13" s="20"/>
      <c r="N13" s="20"/>
      <c r="O13" s="20"/>
      <c r="P13" s="20"/>
    </row>
    <row r="14" customFormat="false" ht="15" hidden="false" customHeight="false" outlineLevel="0" collapsed="false">
      <c r="A14" s="20"/>
      <c r="B14" s="20"/>
      <c r="C14" s="20"/>
      <c r="D14" s="20"/>
      <c r="E14" s="20"/>
      <c r="F14" s="20"/>
      <c r="G14" s="20"/>
      <c r="H14" s="27"/>
      <c r="I14" s="27"/>
      <c r="J14" s="20"/>
      <c r="K14" s="20"/>
      <c r="L14" s="20"/>
      <c r="M14" s="20"/>
      <c r="N14" s="20"/>
      <c r="O14" s="20"/>
      <c r="P14" s="20"/>
    </row>
    <row r="15" customFormat="false" ht="15" hidden="false" customHeight="false" outlineLevel="0" collapsed="false">
      <c r="A15" s="20"/>
      <c r="B15" s="20"/>
      <c r="C15" s="20"/>
      <c r="D15" s="20"/>
      <c r="E15" s="20"/>
      <c r="F15" s="20"/>
      <c r="G15" s="20"/>
      <c r="H15" s="27"/>
      <c r="I15" s="27"/>
      <c r="J15" s="20"/>
      <c r="K15" s="20"/>
      <c r="L15" s="20"/>
      <c r="M15" s="20"/>
      <c r="N15" s="20"/>
      <c r="O15" s="20"/>
      <c r="P15" s="20"/>
    </row>
    <row r="16" customFormat="false" ht="15" hidden="false" customHeight="false" outlineLevel="0" collapsed="false">
      <c r="A16" s="20"/>
      <c r="B16" s="20"/>
      <c r="C16" s="20"/>
      <c r="D16" s="20"/>
      <c r="E16" s="20"/>
      <c r="F16" s="20"/>
      <c r="G16" s="20"/>
      <c r="H16" s="27"/>
      <c r="I16" s="27"/>
      <c r="J16" s="20"/>
      <c r="K16" s="20"/>
      <c r="L16" s="20"/>
      <c r="M16" s="20"/>
      <c r="N16" s="20"/>
      <c r="O16" s="20"/>
      <c r="P16" s="20"/>
    </row>
    <row r="17" customFormat="false" ht="15" hidden="false" customHeight="false" outlineLevel="0" collapsed="false">
      <c r="A17" s="20"/>
      <c r="B17" s="20"/>
      <c r="C17" s="20"/>
      <c r="D17" s="20"/>
      <c r="E17" s="20"/>
      <c r="F17" s="20"/>
      <c r="G17" s="20"/>
      <c r="H17" s="27"/>
      <c r="I17" s="27"/>
      <c r="J17" s="20"/>
      <c r="K17" s="20"/>
      <c r="L17" s="20"/>
      <c r="M17" s="20"/>
      <c r="N17" s="20"/>
      <c r="O17" s="20"/>
      <c r="P17" s="20"/>
    </row>
    <row r="18" customFormat="false" ht="15" hidden="false" customHeight="false" outlineLevel="0" collapsed="false">
      <c r="A18" s="20"/>
      <c r="B18" s="20"/>
      <c r="C18" s="20"/>
      <c r="D18" s="20"/>
      <c r="E18" s="20"/>
      <c r="F18" s="20"/>
      <c r="G18" s="20"/>
      <c r="H18" s="27"/>
      <c r="I18" s="27"/>
      <c r="J18" s="20"/>
      <c r="K18" s="20"/>
      <c r="L18" s="20"/>
      <c r="M18" s="20"/>
      <c r="N18" s="20"/>
      <c r="O18" s="20"/>
      <c r="P18" s="20"/>
    </row>
    <row r="19" customFormat="false" ht="15" hidden="false" customHeight="false" outlineLevel="0" collapsed="false">
      <c r="A19" s="20"/>
      <c r="B19" s="20"/>
      <c r="C19" s="20"/>
      <c r="D19" s="20"/>
      <c r="E19" s="20"/>
      <c r="F19" s="20"/>
      <c r="G19" s="20"/>
      <c r="H19" s="27"/>
      <c r="I19" s="27"/>
      <c r="J19" s="20"/>
      <c r="K19" s="20"/>
      <c r="L19" s="20"/>
      <c r="M19" s="20"/>
      <c r="N19" s="20"/>
      <c r="O19" s="20"/>
      <c r="P19" s="20"/>
    </row>
    <row r="20" customFormat="false" ht="15" hidden="false" customHeight="false" outlineLevel="0" collapsed="false">
      <c r="A20" s="20"/>
      <c r="B20" s="20"/>
      <c r="C20" s="20"/>
      <c r="D20" s="20"/>
      <c r="E20" s="20"/>
      <c r="F20" s="20"/>
      <c r="G20" s="20"/>
      <c r="H20" s="27"/>
      <c r="I20" s="27"/>
      <c r="J20" s="20"/>
      <c r="K20" s="20"/>
      <c r="L20" s="20"/>
      <c r="M20" s="20"/>
      <c r="N20" s="20"/>
      <c r="O20" s="20"/>
      <c r="P20" s="20"/>
    </row>
    <row r="21" customFormat="false" ht="15" hidden="false" customHeight="false" outlineLevel="0" collapsed="false">
      <c r="A21" s="20"/>
      <c r="B21" s="20"/>
      <c r="C21" s="20"/>
      <c r="D21" s="20"/>
      <c r="E21" s="20"/>
      <c r="F21" s="20"/>
      <c r="G21" s="20"/>
      <c r="H21" s="27"/>
      <c r="I21" s="27"/>
      <c r="J21" s="20"/>
      <c r="K21" s="20"/>
      <c r="L21" s="20"/>
      <c r="M21" s="20"/>
      <c r="N21" s="20"/>
      <c r="O21" s="20"/>
      <c r="P21" s="20"/>
    </row>
    <row r="22" customFormat="false" ht="15" hidden="false" customHeight="false" outlineLevel="0" collapsed="false">
      <c r="A22" s="20"/>
      <c r="B22" s="20"/>
      <c r="C22" s="20"/>
      <c r="D22" s="20"/>
      <c r="E22" s="20"/>
      <c r="F22" s="20"/>
      <c r="G22" s="20"/>
      <c r="H22" s="27"/>
      <c r="I22" s="27"/>
      <c r="J22" s="20"/>
      <c r="K22" s="20"/>
      <c r="L22" s="20"/>
      <c r="M22" s="20"/>
      <c r="N22" s="20"/>
      <c r="O22" s="20"/>
      <c r="P22" s="20"/>
    </row>
    <row r="23" customFormat="false" ht="15" hidden="false" customHeight="false" outlineLevel="0" collapsed="false">
      <c r="A23" s="20"/>
      <c r="B23" s="20"/>
      <c r="C23" s="20"/>
      <c r="D23" s="20"/>
      <c r="E23" s="20"/>
      <c r="F23" s="20"/>
      <c r="G23" s="20"/>
      <c r="H23" s="27"/>
      <c r="I23" s="27"/>
      <c r="J23" s="20"/>
      <c r="K23" s="20"/>
      <c r="L23" s="20"/>
      <c r="M23" s="20"/>
      <c r="N23" s="20"/>
      <c r="O23" s="20"/>
      <c r="P23" s="20"/>
    </row>
    <row r="24" customFormat="false" ht="15" hidden="false" customHeight="false" outlineLevel="0" collapsed="false">
      <c r="A24" s="20"/>
      <c r="B24" s="20"/>
      <c r="C24" s="20"/>
      <c r="D24" s="20"/>
      <c r="E24" s="20"/>
      <c r="F24" s="20"/>
      <c r="G24" s="20"/>
      <c r="H24" s="27"/>
      <c r="I24" s="27"/>
      <c r="J24" s="20"/>
      <c r="K24" s="20"/>
      <c r="L24" s="20"/>
      <c r="M24" s="20"/>
      <c r="N24" s="20"/>
      <c r="O24" s="20"/>
      <c r="P24" s="20"/>
    </row>
    <row r="25" customFormat="false" ht="15" hidden="false" customHeight="false" outlineLevel="0" collapsed="false">
      <c r="A25" s="20"/>
      <c r="B25" s="20"/>
      <c r="C25" s="20"/>
      <c r="D25" s="20"/>
      <c r="E25" s="20"/>
      <c r="F25" s="20"/>
      <c r="G25" s="20"/>
      <c r="H25" s="27"/>
      <c r="I25" s="27"/>
      <c r="J25" s="20"/>
      <c r="K25" s="20"/>
      <c r="L25" s="20"/>
      <c r="M25" s="20"/>
      <c r="N25" s="20"/>
      <c r="O25" s="20"/>
      <c r="P25" s="20"/>
    </row>
    <row r="26" customFormat="false" ht="15" hidden="false" customHeight="false" outlineLevel="0" collapsed="false">
      <c r="A26" s="20"/>
      <c r="B26" s="20"/>
      <c r="C26" s="20"/>
      <c r="D26" s="20"/>
      <c r="E26" s="20"/>
      <c r="F26" s="20"/>
      <c r="G26" s="20"/>
      <c r="H26" s="27"/>
      <c r="I26" s="27"/>
      <c r="J26" s="20"/>
      <c r="K26" s="20"/>
      <c r="L26" s="20"/>
      <c r="M26" s="20"/>
      <c r="N26" s="20"/>
      <c r="O26" s="20"/>
      <c r="P26" s="20"/>
    </row>
    <row r="27" customFormat="false" ht="15" hidden="false" customHeight="false" outlineLevel="0" collapsed="false">
      <c r="A27" s="20"/>
      <c r="B27" s="20"/>
      <c r="C27" s="20"/>
      <c r="D27" s="20"/>
      <c r="E27" s="20"/>
      <c r="F27" s="20"/>
      <c r="G27" s="20"/>
      <c r="H27" s="27"/>
      <c r="I27" s="27"/>
      <c r="J27" s="20"/>
      <c r="K27" s="20"/>
      <c r="L27" s="20"/>
      <c r="M27" s="20"/>
      <c r="N27" s="20"/>
      <c r="O27" s="20"/>
      <c r="P27" s="20"/>
    </row>
    <row r="28" customFormat="false" ht="15" hidden="false" customHeight="false" outlineLevel="0" collapsed="false">
      <c r="A28" s="20"/>
      <c r="B28" s="20"/>
      <c r="C28" s="20"/>
      <c r="D28" s="20"/>
      <c r="E28" s="20"/>
      <c r="F28" s="20"/>
      <c r="G28" s="20"/>
      <c r="H28" s="27"/>
      <c r="I28" s="27"/>
      <c r="J28" s="20"/>
      <c r="K28" s="20"/>
      <c r="L28" s="20"/>
      <c r="M28" s="20"/>
      <c r="N28" s="20"/>
      <c r="O28" s="20"/>
      <c r="P28" s="20"/>
    </row>
  </sheetData>
  <mergeCells count="1">
    <mergeCell ref="A1:P1"/>
  </mergeCells>
  <conditionalFormatting sqref="K3:K29">
    <cfRule type="expression" priority="2" aboveAverage="0" equalAverage="0" bottom="0" percent="0" rank="0" text="" dxfId="8">
      <formula>AND($K3&lt;&gt;"Tamamlandı",$K3&lt;&gt;"İptal",TODAY()&gt;$I3)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T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2"/>
    <col collapsed="false" customWidth="true" hidden="false" outlineLevel="0" max="4" min="4" style="0" width="6"/>
    <col collapsed="false" customWidth="true" hidden="false" outlineLevel="0" max="5" min="5" style="0" width="40"/>
    <col collapsed="false" customWidth="true" hidden="false" outlineLevel="0" max="7" min="6" style="0" width="10"/>
    <col collapsed="false" customWidth="true" hidden="false" outlineLevel="0" max="8" min="8" style="0" width="22"/>
    <col collapsed="false" customWidth="true" hidden="false" outlineLevel="0" max="9" min="9" style="0" width="18"/>
    <col collapsed="false" customWidth="true" hidden="false" outlineLevel="0" max="10" min="10" style="0" width="16"/>
    <col collapsed="false" customWidth="true" hidden="false" outlineLevel="0" max="12" min="11" style="0" width="30"/>
    <col collapsed="false" customWidth="true" hidden="false" outlineLevel="0" max="13" min="13" style="0" width="24"/>
    <col collapsed="false" customWidth="true" hidden="false" outlineLevel="0" max="14" min="14" style="0" width="18"/>
    <col collapsed="false" customWidth="true" hidden="false" outlineLevel="0" max="15" min="15" style="0" width="12"/>
    <col collapsed="false" customWidth="true" hidden="false" outlineLevel="0" max="16" min="16" style="0" width="16"/>
    <col collapsed="false" customWidth="true" hidden="false" outlineLevel="0" max="18" min="17" style="0" width="22"/>
    <col collapsed="false" customWidth="true" hidden="false" outlineLevel="0" max="19" min="19" style="0" width="50"/>
    <col collapsed="false" customWidth="true" hidden="false" outlineLevel="0" max="20" min="20" style="0" width="14"/>
  </cols>
  <sheetData>
    <row r="1" customFormat="false" ht="27.75" hidden="false" customHeight="true" outlineLevel="0" collapsed="false">
      <c r="A1" s="17" t="s">
        <v>325</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326</v>
      </c>
      <c r="B2" s="18" t="s">
        <v>327</v>
      </c>
      <c r="C2" s="18" t="s">
        <v>167</v>
      </c>
      <c r="D2" s="18" t="s">
        <v>328</v>
      </c>
      <c r="E2" s="18" t="s">
        <v>329</v>
      </c>
      <c r="F2" s="18" t="s">
        <v>330</v>
      </c>
      <c r="G2" s="18" t="s">
        <v>331</v>
      </c>
      <c r="H2" s="18" t="s">
        <v>332</v>
      </c>
      <c r="I2" s="18" t="s">
        <v>333</v>
      </c>
      <c r="J2" s="18" t="s">
        <v>334</v>
      </c>
      <c r="K2" s="18" t="s">
        <v>335</v>
      </c>
      <c r="L2" s="18" t="s">
        <v>336</v>
      </c>
      <c r="M2" s="18" t="s">
        <v>337</v>
      </c>
      <c r="N2" s="18" t="s">
        <v>338</v>
      </c>
      <c r="O2" s="18" t="s">
        <v>339</v>
      </c>
      <c r="P2" s="18" t="s">
        <v>340</v>
      </c>
      <c r="Q2" s="18" t="s">
        <v>189</v>
      </c>
      <c r="R2" s="18" t="s">
        <v>341</v>
      </c>
      <c r="S2" s="18" t="s">
        <v>342</v>
      </c>
      <c r="T2" s="18" t="s">
        <v>229</v>
      </c>
    </row>
    <row r="3" customFormat="false" ht="15" hidden="false" customHeight="false" outlineLevel="0" collapsed="false">
      <c r="A3" s="28" t="s">
        <v>343</v>
      </c>
      <c r="B3" s="28" t="s">
        <v>344</v>
      </c>
      <c r="C3" s="28" t="s">
        <v>102</v>
      </c>
      <c r="D3" s="28" t="s">
        <v>345</v>
      </c>
      <c r="E3" s="28" t="s">
        <v>346</v>
      </c>
      <c r="F3" s="28" t="s">
        <v>347</v>
      </c>
      <c r="G3" s="29" t="n">
        <v>64</v>
      </c>
      <c r="H3" s="28" t="s">
        <v>348</v>
      </c>
      <c r="I3" s="28" t="s">
        <v>349</v>
      </c>
      <c r="J3" s="28"/>
      <c r="K3" s="28" t="s">
        <v>350</v>
      </c>
      <c r="L3" s="28" t="s">
        <v>107</v>
      </c>
      <c r="M3" s="28" t="s">
        <v>351</v>
      </c>
      <c r="N3" s="28" t="s">
        <v>352</v>
      </c>
      <c r="O3" s="28" t="str">
        <f aca="true">IFERROR(IF(N3="","",DATEVALUE(TEXT(N3,"DD.MM.YYYY"))-TODAY()),"Tarih Yok")</f>
        <v>Tarih Yok</v>
      </c>
      <c r="P3" s="28" t="str">
        <f aca="true">IFERROR(IF(N3="","Tarih Yok",IF(DATEVALUE(TEXT(N3,"DD.MM.YYYY"))&lt;TODAY(),"GECİKMİŞ",IF(DATEVALUE(TEXT(N3,"DD.MM.YYYY"))-TODAY()&lt;=30,"30 GÜN İÇİNDE",IF(DATEVALUE(TEXT(N3,"DD.MM.YYYY"))-TODAY()&lt;=90,"90 GÜN İÇİNDE","Takvimdeyiz")))),"Tarih Kontrol")</f>
        <v>Tarih Kontrol</v>
      </c>
      <c r="Q3" s="28" t="s">
        <v>98</v>
      </c>
      <c r="R3" s="28"/>
      <c r="S3" s="28" t="s">
        <v>11</v>
      </c>
      <c r="T3" s="28" t="s">
        <v>35</v>
      </c>
    </row>
    <row r="4" customFormat="false" ht="15" hidden="false" customHeight="false" outlineLevel="0" collapsed="false">
      <c r="A4" s="28" t="s">
        <v>353</v>
      </c>
      <c r="B4" s="28" t="s">
        <v>344</v>
      </c>
      <c r="C4" s="28" t="s">
        <v>102</v>
      </c>
      <c r="D4" s="28" t="s">
        <v>354</v>
      </c>
      <c r="E4" s="28" t="s">
        <v>355</v>
      </c>
      <c r="F4" s="28" t="s">
        <v>356</v>
      </c>
      <c r="G4" s="29" t="n">
        <v>110</v>
      </c>
      <c r="H4" s="28" t="s">
        <v>357</v>
      </c>
      <c r="I4" s="28" t="s">
        <v>349</v>
      </c>
      <c r="J4" s="28"/>
      <c r="K4" s="28" t="s">
        <v>350</v>
      </c>
      <c r="L4" s="28" t="s">
        <v>107</v>
      </c>
      <c r="M4" s="28" t="s">
        <v>358</v>
      </c>
      <c r="N4" s="28" t="s">
        <v>359</v>
      </c>
      <c r="O4" s="28" t="str">
        <f aca="true">IFERROR(IF(N4="","",DATEVALUE(TEXT(N4,"DD.MM.YYYY"))-TODAY()),"Tarih Yok")</f>
        <v>Tarih Yok</v>
      </c>
      <c r="P4" s="28" t="str">
        <f aca="true">IFERROR(IF(N4="","Tarih Yok",IF(DATEVALUE(TEXT(N4,"DD.MM.YYYY"))&lt;TODAY(),"GECİKMİŞ",IF(DATEVALUE(TEXT(N4,"DD.MM.YYYY"))-TODAY()&lt;=30,"30 GÜN İÇİNDE",IF(DATEVALUE(TEXT(N4,"DD.MM.YYYY"))-TODAY()&lt;=90,"90 GÜN İÇİNDE","Takvimdeyiz")))),"Tarih Kontrol")</f>
        <v>Tarih Kontrol</v>
      </c>
      <c r="Q4" s="28" t="s">
        <v>98</v>
      </c>
      <c r="R4" s="28"/>
      <c r="S4" s="28" t="s">
        <v>360</v>
      </c>
      <c r="T4" s="28" t="s">
        <v>35</v>
      </c>
    </row>
    <row r="5" customFormat="false" ht="15" hidden="false" customHeight="false" outlineLevel="0" collapsed="false">
      <c r="A5" s="28" t="s">
        <v>361</v>
      </c>
      <c r="B5" s="28" t="s">
        <v>344</v>
      </c>
      <c r="C5" s="28" t="s">
        <v>102</v>
      </c>
      <c r="D5" s="28" t="s">
        <v>362</v>
      </c>
      <c r="E5" s="28" t="s">
        <v>363</v>
      </c>
      <c r="F5" s="28" t="s">
        <v>364</v>
      </c>
      <c r="G5" s="29" t="n">
        <v>270</v>
      </c>
      <c r="H5" s="28" t="s">
        <v>365</v>
      </c>
      <c r="I5" s="28" t="s">
        <v>366</v>
      </c>
      <c r="J5" s="28"/>
      <c r="K5" s="28" t="s">
        <v>367</v>
      </c>
      <c r="L5" s="28" t="s">
        <v>368</v>
      </c>
      <c r="M5" s="28" t="s">
        <v>369</v>
      </c>
      <c r="N5" s="28" t="s">
        <v>370</v>
      </c>
      <c r="O5" s="28" t="str">
        <f aca="true">IFERROR(IF(N5="","",DATEVALUE(TEXT(N5,"DD.MM.YYYY"))-TODAY()),"Tarih Yok")</f>
        <v>Tarih Yok</v>
      </c>
      <c r="P5" s="28" t="str">
        <f aca="true">IFERROR(IF(N5="","Tarih Yok",IF(DATEVALUE(TEXT(N5,"DD.MM.YYYY"))&lt;TODAY(),"GECİKMİŞ",IF(DATEVALUE(TEXT(N5,"DD.MM.YYYY"))-TODAY()&lt;=30,"30 GÜN İÇİNDE",IF(DATEVALUE(TEXT(N5,"DD.MM.YYYY"))-TODAY()&lt;=90,"90 GÜN İÇİNDE","Takvimdeyiz")))),"Tarih Kontrol")</f>
        <v>Tarih Kontrol</v>
      </c>
      <c r="Q5" s="28" t="s">
        <v>110</v>
      </c>
      <c r="R5" s="28"/>
      <c r="S5" s="28" t="s">
        <v>371</v>
      </c>
      <c r="T5" s="28" t="s">
        <v>35</v>
      </c>
    </row>
    <row r="6" customFormat="false" ht="15" hidden="false" customHeight="false" outlineLevel="0" collapsed="false">
      <c r="A6" s="28" t="s">
        <v>372</v>
      </c>
      <c r="B6" s="28" t="s">
        <v>344</v>
      </c>
      <c r="C6" s="28" t="s">
        <v>102</v>
      </c>
      <c r="D6" s="28" t="s">
        <v>373</v>
      </c>
      <c r="E6" s="28" t="s">
        <v>374</v>
      </c>
      <c r="F6" s="28" t="s">
        <v>375</v>
      </c>
      <c r="G6" s="29" t="n">
        <v>289</v>
      </c>
      <c r="H6" s="28" t="s">
        <v>357</v>
      </c>
      <c r="I6" s="28" t="s">
        <v>366</v>
      </c>
      <c r="J6" s="28"/>
      <c r="K6" s="28" t="s">
        <v>367</v>
      </c>
      <c r="L6" s="28" t="s">
        <v>368</v>
      </c>
      <c r="M6" s="28" t="s">
        <v>376</v>
      </c>
      <c r="N6" s="28" t="s">
        <v>377</v>
      </c>
      <c r="O6" s="28" t="str">
        <f aca="true">IFERROR(IF(N6="","",DATEVALUE(TEXT(N6,"DD.MM.YYYY"))-TODAY()),"Tarih Yok")</f>
        <v>Tarih Yok</v>
      </c>
      <c r="P6" s="28" t="str">
        <f aca="true">IFERROR(IF(N6="","Tarih Yok",IF(DATEVALUE(TEXT(N6,"DD.MM.YYYY"))&lt;TODAY(),"GECİKMİŞ",IF(DATEVALUE(TEXT(N6,"DD.MM.YYYY"))-TODAY()&lt;=30,"30 GÜN İÇİNDE",IF(DATEVALUE(TEXT(N6,"DD.MM.YYYY"))-TODAY()&lt;=90,"90 GÜN İÇİNDE","Takvimdeyiz")))),"Tarih Kontrol")</f>
        <v>Tarih Kontrol</v>
      </c>
      <c r="Q6" s="28" t="s">
        <v>110</v>
      </c>
      <c r="R6" s="28"/>
      <c r="S6" s="28" t="s">
        <v>371</v>
      </c>
      <c r="T6" s="28" t="s">
        <v>35</v>
      </c>
    </row>
    <row r="7" customFormat="false" ht="15" hidden="false" customHeight="false" outlineLevel="0" collapsed="false">
      <c r="A7" s="28" t="s">
        <v>378</v>
      </c>
      <c r="B7" s="28" t="s">
        <v>344</v>
      </c>
      <c r="C7" s="28" t="s">
        <v>102</v>
      </c>
      <c r="D7" s="28" t="s">
        <v>379</v>
      </c>
      <c r="E7" s="28" t="s">
        <v>380</v>
      </c>
      <c r="F7" s="28" t="s">
        <v>381</v>
      </c>
      <c r="G7" s="29" t="n">
        <v>289</v>
      </c>
      <c r="H7" s="28" t="s">
        <v>365</v>
      </c>
      <c r="I7" s="28" t="s">
        <v>366</v>
      </c>
      <c r="J7" s="28"/>
      <c r="K7" s="28" t="s">
        <v>367</v>
      </c>
      <c r="L7" s="28" t="s">
        <v>368</v>
      </c>
      <c r="M7" s="28" t="s">
        <v>369</v>
      </c>
      <c r="N7" s="28" t="s">
        <v>370</v>
      </c>
      <c r="O7" s="28" t="str">
        <f aca="true">IFERROR(IF(N7="","",DATEVALUE(TEXT(N7,"DD.MM.YYYY"))-TODAY()),"Tarih Yok")</f>
        <v>Tarih Yok</v>
      </c>
      <c r="P7" s="28" t="str">
        <f aca="true">IFERROR(IF(N7="","Tarih Yok",IF(DATEVALUE(TEXT(N7,"DD.MM.YYYY"))&lt;TODAY(),"GECİKMİŞ",IF(DATEVALUE(TEXT(N7,"DD.MM.YYYY"))-TODAY()&lt;=30,"30 GÜN İÇİNDE",IF(DATEVALUE(TEXT(N7,"DD.MM.YYYY"))-TODAY()&lt;=90,"90 GÜN İÇİNDE","Takvimdeyiz")))),"Tarih Kontrol")</f>
        <v>Tarih Kontrol</v>
      </c>
      <c r="Q7" s="28" t="s">
        <v>110</v>
      </c>
      <c r="R7" s="28"/>
      <c r="S7" s="28" t="s">
        <v>371</v>
      </c>
      <c r="T7" s="28" t="s">
        <v>35</v>
      </c>
    </row>
    <row r="8" customFormat="false" ht="15" hidden="false" customHeight="false" outlineLevel="0" collapsed="false">
      <c r="A8" s="28" t="s">
        <v>382</v>
      </c>
      <c r="B8" s="28" t="s">
        <v>344</v>
      </c>
      <c r="C8" s="28" t="s">
        <v>102</v>
      </c>
      <c r="D8" s="28" t="s">
        <v>383</v>
      </c>
      <c r="E8" s="28" t="s">
        <v>384</v>
      </c>
      <c r="F8" s="28" t="s">
        <v>385</v>
      </c>
      <c r="G8" s="29" t="n">
        <v>510</v>
      </c>
      <c r="H8" s="28" t="s">
        <v>357</v>
      </c>
      <c r="I8" s="28" t="s">
        <v>366</v>
      </c>
      <c r="J8" s="28"/>
      <c r="K8" s="28" t="s">
        <v>367</v>
      </c>
      <c r="L8" s="28" t="s">
        <v>368</v>
      </c>
      <c r="M8" s="28" t="s">
        <v>386</v>
      </c>
      <c r="N8" s="28" t="s">
        <v>387</v>
      </c>
      <c r="O8" s="28" t="str">
        <f aca="true">IFERROR(IF(N8="","",DATEVALUE(TEXT(N8,"DD.MM.YYYY"))-TODAY()),"Tarih Yok")</f>
        <v>Tarih Yok</v>
      </c>
      <c r="P8" s="28" t="str">
        <f aca="true">IFERROR(IF(N8="","Tarih Yok",IF(DATEVALUE(TEXT(N8,"DD.MM.YYYY"))&lt;TODAY(),"GECİKMİŞ",IF(DATEVALUE(TEXT(N8,"DD.MM.YYYY"))-TODAY()&lt;=30,"30 GÜN İÇİNDE",IF(DATEVALUE(TEXT(N8,"DD.MM.YYYY"))-TODAY()&lt;=90,"90 GÜN İÇİNDE","Takvimdeyiz")))),"Tarih Kontrol")</f>
        <v>Tarih Kontrol</v>
      </c>
      <c r="Q8" s="28" t="s">
        <v>110</v>
      </c>
      <c r="R8" s="28"/>
      <c r="S8" s="28" t="s">
        <v>371</v>
      </c>
      <c r="T8" s="28" t="s">
        <v>35</v>
      </c>
    </row>
    <row r="9" customFormat="false" ht="15" hidden="false" customHeight="false" outlineLevel="0" collapsed="false">
      <c r="A9" s="28" t="s">
        <v>388</v>
      </c>
      <c r="B9" s="28" t="s">
        <v>344</v>
      </c>
      <c r="C9" s="28" t="s">
        <v>102</v>
      </c>
      <c r="D9" s="28" t="s">
        <v>389</v>
      </c>
      <c r="E9" s="28" t="s">
        <v>390</v>
      </c>
      <c r="F9" s="28" t="s">
        <v>391</v>
      </c>
      <c r="G9" s="29" t="n">
        <v>511</v>
      </c>
      <c r="H9" s="28" t="s">
        <v>365</v>
      </c>
      <c r="I9" s="28" t="s">
        <v>366</v>
      </c>
      <c r="J9" s="28"/>
      <c r="K9" s="28" t="s">
        <v>367</v>
      </c>
      <c r="L9" s="28" t="s">
        <v>368</v>
      </c>
      <c r="M9" s="28" t="s">
        <v>369</v>
      </c>
      <c r="N9" s="28" t="s">
        <v>370</v>
      </c>
      <c r="O9" s="28" t="str">
        <f aca="true">IFERROR(IF(N9="","",DATEVALUE(TEXT(N9,"DD.MM.YYYY"))-TODAY()),"Tarih Yok")</f>
        <v>Tarih Yok</v>
      </c>
      <c r="P9" s="28" t="str">
        <f aca="true">IFERROR(IF(N9="","Tarih Yok",IF(DATEVALUE(TEXT(N9,"DD.MM.YYYY"))&lt;TODAY(),"GECİKMİŞ",IF(DATEVALUE(TEXT(N9,"DD.MM.YYYY"))-TODAY()&lt;=30,"30 GÜN İÇİNDE",IF(DATEVALUE(TEXT(N9,"DD.MM.YYYY"))-TODAY()&lt;=90,"90 GÜN İÇİNDE","Takvimdeyiz")))),"Tarih Kontrol")</f>
        <v>Tarih Kontrol</v>
      </c>
      <c r="Q9" s="28" t="s">
        <v>110</v>
      </c>
      <c r="R9" s="28"/>
      <c r="S9" s="28" t="s">
        <v>371</v>
      </c>
      <c r="T9" s="28" t="s">
        <v>35</v>
      </c>
    </row>
    <row r="10" customFormat="false" ht="15" hidden="false" customHeight="false" outlineLevel="0" collapsed="false">
      <c r="A10" s="28" t="s">
        <v>392</v>
      </c>
      <c r="B10" s="28" t="s">
        <v>344</v>
      </c>
      <c r="C10" s="28" t="s">
        <v>102</v>
      </c>
      <c r="D10" s="28" t="s">
        <v>393</v>
      </c>
      <c r="E10" s="28" t="s">
        <v>394</v>
      </c>
      <c r="F10" s="28" t="s">
        <v>395</v>
      </c>
      <c r="G10" s="29" t="n">
        <v>115</v>
      </c>
      <c r="H10" s="28" t="s">
        <v>357</v>
      </c>
      <c r="I10" s="28" t="s">
        <v>366</v>
      </c>
      <c r="J10" s="28"/>
      <c r="K10" s="28" t="s">
        <v>367</v>
      </c>
      <c r="L10" s="28" t="s">
        <v>368</v>
      </c>
      <c r="M10" s="28" t="s">
        <v>369</v>
      </c>
      <c r="N10" s="28" t="s">
        <v>370</v>
      </c>
      <c r="O10" s="28" t="str">
        <f aca="true">IFERROR(IF(N10="","",DATEVALUE(TEXT(N10,"DD.MM.YYYY"))-TODAY()),"Tarih Yok")</f>
        <v>Tarih Yok</v>
      </c>
      <c r="P10" s="28" t="str">
        <f aca="true">IFERROR(IF(N10="","Tarih Yok",IF(DATEVALUE(TEXT(N10,"DD.MM.YYYY"))&lt;TODAY(),"GECİKMİŞ",IF(DATEVALUE(TEXT(N10,"DD.MM.YYYY"))-TODAY()&lt;=30,"30 GÜN İÇİNDE",IF(DATEVALUE(TEXT(N10,"DD.MM.YYYY"))-TODAY()&lt;=90,"90 GÜN İÇİNDE","Takvimdeyiz")))),"Tarih Kontrol")</f>
        <v>Tarih Kontrol</v>
      </c>
      <c r="Q10" s="28" t="s">
        <v>110</v>
      </c>
      <c r="R10" s="28"/>
      <c r="S10" s="28" t="s">
        <v>371</v>
      </c>
      <c r="T10" s="28" t="s">
        <v>35</v>
      </c>
    </row>
    <row r="11" customFormat="false" ht="15" hidden="false" customHeight="false" outlineLevel="0" collapsed="false">
      <c r="A11" s="28" t="s">
        <v>396</v>
      </c>
      <c r="B11" s="28" t="s">
        <v>344</v>
      </c>
      <c r="C11" s="28" t="s">
        <v>102</v>
      </c>
      <c r="D11" s="28" t="s">
        <v>397</v>
      </c>
      <c r="E11" s="28" t="s">
        <v>398</v>
      </c>
      <c r="F11" s="28" t="s">
        <v>399</v>
      </c>
      <c r="G11" s="29" t="n">
        <v>100</v>
      </c>
      <c r="H11" s="28" t="s">
        <v>357</v>
      </c>
      <c r="I11" s="28" t="s">
        <v>366</v>
      </c>
      <c r="J11" s="28"/>
      <c r="K11" s="28" t="s">
        <v>367</v>
      </c>
      <c r="L11" s="28" t="s">
        <v>368</v>
      </c>
      <c r="M11" s="28" t="s">
        <v>369</v>
      </c>
      <c r="N11" s="28" t="s">
        <v>370</v>
      </c>
      <c r="O11" s="28" t="str">
        <f aca="true">IFERROR(IF(N11="","",DATEVALUE(TEXT(N11,"DD.MM.YYYY"))-TODAY()),"Tarih Yok")</f>
        <v>Tarih Yok</v>
      </c>
      <c r="P11" s="28" t="str">
        <f aca="true">IFERROR(IF(N11="","Tarih Yok",IF(DATEVALUE(TEXT(N11,"DD.MM.YYYY"))&lt;TODAY(),"GECİKMİŞ",IF(DATEVALUE(TEXT(N11,"DD.MM.YYYY"))-TODAY()&lt;=30,"30 GÜN İÇİNDE",IF(DATEVALUE(TEXT(N11,"DD.MM.YYYY"))-TODAY()&lt;=90,"90 GÜN İÇİNDE","Takvimdeyiz")))),"Tarih Kontrol")</f>
        <v>Tarih Kontrol</v>
      </c>
      <c r="Q11" s="28" t="s">
        <v>110</v>
      </c>
      <c r="R11" s="28"/>
      <c r="S11" s="28" t="s">
        <v>371</v>
      </c>
      <c r="T11" s="28" t="s">
        <v>35</v>
      </c>
    </row>
    <row r="12" customFormat="false" ht="15" hidden="false" customHeight="false" outlineLevel="0" collapsed="false">
      <c r="A12" s="28" t="s">
        <v>400</v>
      </c>
      <c r="B12" s="28" t="s">
        <v>344</v>
      </c>
      <c r="C12" s="28" t="s">
        <v>102</v>
      </c>
      <c r="D12" s="28" t="s">
        <v>401</v>
      </c>
      <c r="E12" s="28" t="s">
        <v>402</v>
      </c>
      <c r="F12" s="28" t="s">
        <v>403</v>
      </c>
      <c r="G12" s="29" t="n">
        <v>74</v>
      </c>
      <c r="H12" s="28" t="s">
        <v>365</v>
      </c>
      <c r="I12" s="28" t="s">
        <v>349</v>
      </c>
      <c r="J12" s="28"/>
      <c r="K12" s="28" t="s">
        <v>350</v>
      </c>
      <c r="L12" s="28" t="s">
        <v>107</v>
      </c>
      <c r="M12" s="28" t="s">
        <v>404</v>
      </c>
      <c r="N12" s="28" t="s">
        <v>405</v>
      </c>
      <c r="O12" s="28" t="str">
        <f aca="true">IFERROR(IF(N12="","",DATEVALUE(TEXT(N12,"DD.MM.YYYY"))-TODAY()),"Tarih Yok")</f>
        <v>Tarih Yok</v>
      </c>
      <c r="P12" s="28" t="str">
        <f aca="true">IFERROR(IF(N12="","Tarih Yok",IF(DATEVALUE(TEXT(N12,"DD.MM.YYYY"))&lt;TODAY(),"GECİKMİŞ",IF(DATEVALUE(TEXT(N12,"DD.MM.YYYY"))-TODAY()&lt;=30,"30 GÜN İÇİNDE",IF(DATEVALUE(TEXT(N12,"DD.MM.YYYY"))-TODAY()&lt;=90,"90 GÜN İÇİNDE","Takvimdeyiz")))),"Tarih Kontrol")</f>
        <v>Tarih Kontrol</v>
      </c>
      <c r="Q12" s="28" t="s">
        <v>98</v>
      </c>
      <c r="R12" s="28"/>
      <c r="S12" s="28" t="s">
        <v>406</v>
      </c>
      <c r="T12" s="28" t="s">
        <v>35</v>
      </c>
    </row>
    <row r="13" customFormat="false" ht="15" hidden="false" customHeight="false" outlineLevel="0" collapsed="false">
      <c r="A13" s="28" t="s">
        <v>407</v>
      </c>
      <c r="B13" s="28" t="s">
        <v>344</v>
      </c>
      <c r="C13" s="28" t="s">
        <v>102</v>
      </c>
      <c r="D13" s="28" t="s">
        <v>408</v>
      </c>
      <c r="E13" s="28" t="s">
        <v>409</v>
      </c>
      <c r="F13" s="28" t="s">
        <v>410</v>
      </c>
      <c r="G13" s="29" t="n">
        <v>119</v>
      </c>
      <c r="H13" s="28" t="s">
        <v>411</v>
      </c>
      <c r="I13" s="28" t="s">
        <v>366</v>
      </c>
      <c r="J13" s="28"/>
      <c r="K13" s="28" t="s">
        <v>367</v>
      </c>
      <c r="L13" s="28" t="s">
        <v>368</v>
      </c>
      <c r="M13" s="28" t="s">
        <v>386</v>
      </c>
      <c r="N13" s="28"/>
      <c r="O13" s="28" t="str">
        <f aca="true">IFERROR(IF(N13="","",DATEVALUE(TEXT(N13,"DD.MM.YYYY"))-TODAY()),"Tarih Yok")</f>
        <v/>
      </c>
      <c r="P13" s="28" t="str">
        <f aca="true">IFERROR(IF(N13="","Tarih Yok",IF(DATEVALUE(TEXT(N13,"DD.MM.YYYY"))&lt;TODAY(),"GECİKMİŞ",IF(DATEVALUE(TEXT(N13,"DD.MM.YYYY"))-TODAY()&lt;=30,"30 GÜN İÇİNDE",IF(DATEVALUE(TEXT(N13,"DD.MM.YYYY"))-TODAY()&lt;=90,"90 GÜN İÇİNDE","Takvimdeyiz")))),"Tarih Kontrol")</f>
        <v>Tarih Yok</v>
      </c>
      <c r="Q13" s="28" t="s">
        <v>120</v>
      </c>
      <c r="R13" s="28"/>
      <c r="S13" s="28" t="s">
        <v>371</v>
      </c>
      <c r="T13" s="28" t="s">
        <v>35</v>
      </c>
    </row>
    <row r="14" customFormat="false" ht="15" hidden="false" customHeight="false" outlineLevel="0" collapsed="false">
      <c r="A14" s="28" t="s">
        <v>412</v>
      </c>
      <c r="B14" s="28" t="s">
        <v>344</v>
      </c>
      <c r="C14" s="28" t="s">
        <v>102</v>
      </c>
      <c r="D14" s="28" t="s">
        <v>413</v>
      </c>
      <c r="E14" s="28" t="s">
        <v>414</v>
      </c>
      <c r="F14" s="28" t="s">
        <v>415</v>
      </c>
      <c r="G14" s="29" t="n">
        <v>400</v>
      </c>
      <c r="H14" s="28" t="s">
        <v>416</v>
      </c>
      <c r="I14" s="28" t="s">
        <v>366</v>
      </c>
      <c r="J14" s="28"/>
      <c r="K14" s="28" t="s">
        <v>367</v>
      </c>
      <c r="L14" s="28" t="s">
        <v>368</v>
      </c>
      <c r="M14" s="28" t="s">
        <v>417</v>
      </c>
      <c r="N14" s="28" t="s">
        <v>418</v>
      </c>
      <c r="O14" s="28" t="str">
        <f aca="true">IFERROR(IF(N14="","",DATEVALUE(TEXT(N14,"DD.MM.YYYY"))-TODAY()),"Tarih Yok")</f>
        <v>Tarih Yok</v>
      </c>
      <c r="P14" s="28" t="str">
        <f aca="true">IFERROR(IF(N14="","Tarih Yok",IF(DATEVALUE(TEXT(N14,"DD.MM.YYYY"))&lt;TODAY(),"GECİKMİŞ",IF(DATEVALUE(TEXT(N14,"DD.MM.YYYY"))-TODAY()&lt;=30,"30 GÜN İÇİNDE",IF(DATEVALUE(TEXT(N14,"DD.MM.YYYY"))-TODAY()&lt;=90,"90 GÜN İÇİNDE","Takvimdeyiz")))),"Tarih Kontrol")</f>
        <v>Tarih Kontrol</v>
      </c>
      <c r="Q14" s="28" t="s">
        <v>98</v>
      </c>
      <c r="R14" s="28"/>
      <c r="S14" s="28" t="s">
        <v>419</v>
      </c>
      <c r="T14" s="28" t="s">
        <v>35</v>
      </c>
    </row>
    <row r="15" customFormat="false" ht="15" hidden="false" customHeight="false" outlineLevel="0" collapsed="false">
      <c r="A15" s="28" t="s">
        <v>420</v>
      </c>
      <c r="B15" s="28" t="s">
        <v>344</v>
      </c>
      <c r="C15" s="28" t="s">
        <v>102</v>
      </c>
      <c r="D15" s="28" t="s">
        <v>421</v>
      </c>
      <c r="E15" s="28" t="s">
        <v>422</v>
      </c>
      <c r="F15" s="28" t="s">
        <v>423</v>
      </c>
      <c r="G15" s="29" t="n">
        <v>63</v>
      </c>
      <c r="H15" s="28"/>
      <c r="I15" s="28" t="s">
        <v>349</v>
      </c>
      <c r="J15" s="28"/>
      <c r="K15" s="28" t="s">
        <v>350</v>
      </c>
      <c r="L15" s="28" t="s">
        <v>107</v>
      </c>
      <c r="M15" s="28" t="s">
        <v>358</v>
      </c>
      <c r="N15" s="28" t="s">
        <v>359</v>
      </c>
      <c r="O15" s="28" t="str">
        <f aca="true">IFERROR(IF(N15="","",DATEVALUE(TEXT(N15,"DD.MM.YYYY"))-TODAY()),"Tarih Yok")</f>
        <v>Tarih Yok</v>
      </c>
      <c r="P15" s="28" t="str">
        <f aca="true">IFERROR(IF(N15="","Tarih Yok",IF(DATEVALUE(TEXT(N15,"DD.MM.YYYY"))&lt;TODAY(),"GECİKMİŞ",IF(DATEVALUE(TEXT(N15,"DD.MM.YYYY"))-TODAY()&lt;=30,"30 GÜN İÇİNDE",IF(DATEVALUE(TEXT(N15,"DD.MM.YYYY"))-TODAY()&lt;=90,"90 GÜN İÇİNDE","Takvimdeyiz")))),"Tarih Kontrol")</f>
        <v>Tarih Kontrol</v>
      </c>
      <c r="Q15" s="28" t="s">
        <v>98</v>
      </c>
      <c r="R15" s="28"/>
      <c r="S15" s="28" t="s">
        <v>406</v>
      </c>
      <c r="T15" s="28" t="s">
        <v>35</v>
      </c>
    </row>
    <row r="16" customFormat="false" ht="15" hidden="false" customHeight="false" outlineLevel="0" collapsed="false">
      <c r="A16" s="28" t="s">
        <v>424</v>
      </c>
      <c r="B16" s="28" t="s">
        <v>344</v>
      </c>
      <c r="C16" s="28" t="s">
        <v>102</v>
      </c>
      <c r="D16" s="28" t="s">
        <v>425</v>
      </c>
      <c r="E16" s="28" t="s">
        <v>426</v>
      </c>
      <c r="F16" s="28" t="s">
        <v>427</v>
      </c>
      <c r="G16" s="29" t="n">
        <v>13</v>
      </c>
      <c r="H16" s="28"/>
      <c r="I16" s="28" t="s">
        <v>349</v>
      </c>
      <c r="J16" s="28"/>
      <c r="K16" s="28" t="s">
        <v>350</v>
      </c>
      <c r="L16" s="28" t="s">
        <v>107</v>
      </c>
      <c r="M16" s="28" t="s">
        <v>428</v>
      </c>
      <c r="N16" s="28"/>
      <c r="O16" s="28" t="str">
        <f aca="true">IFERROR(IF(N16="","",DATEVALUE(TEXT(N16,"DD.MM.YYYY"))-TODAY()),"Tarih Yok")</f>
        <v/>
      </c>
      <c r="P16" s="28" t="str">
        <f aca="true">IFERROR(IF(N16="","Tarih Yok",IF(DATEVALUE(TEXT(N16,"DD.MM.YYYY"))&lt;TODAY(),"GECİKMİŞ",IF(DATEVALUE(TEXT(N16,"DD.MM.YYYY"))-TODAY()&lt;=30,"30 GÜN İÇİNDE",IF(DATEVALUE(TEXT(N16,"DD.MM.YYYY"))-TODAY()&lt;=90,"90 GÜN İÇİNDE","Takvimdeyiz")))),"Tarih Kontrol")</f>
        <v>Tarih Yok</v>
      </c>
      <c r="Q16" s="28" t="s">
        <v>110</v>
      </c>
      <c r="R16" s="28"/>
      <c r="S16" s="28" t="s">
        <v>429</v>
      </c>
      <c r="T16" s="28" t="s">
        <v>35</v>
      </c>
    </row>
    <row r="17" customFormat="false" ht="15" hidden="false" customHeight="false" outlineLevel="0" collapsed="false">
      <c r="A17" s="28" t="s">
        <v>430</v>
      </c>
      <c r="B17" s="28" t="s">
        <v>344</v>
      </c>
      <c r="C17" s="28" t="s">
        <v>102</v>
      </c>
      <c r="D17" s="28" t="s">
        <v>431</v>
      </c>
      <c r="E17" s="28" t="s">
        <v>432</v>
      </c>
      <c r="F17" s="28" t="s">
        <v>433</v>
      </c>
      <c r="G17" s="29" t="n">
        <v>68</v>
      </c>
      <c r="H17" s="28"/>
      <c r="I17" s="28" t="s">
        <v>349</v>
      </c>
      <c r="J17" s="28"/>
      <c r="K17" s="28" t="s">
        <v>350</v>
      </c>
      <c r="L17" s="28" t="s">
        <v>107</v>
      </c>
      <c r="M17" s="28" t="s">
        <v>358</v>
      </c>
      <c r="N17" s="28" t="s">
        <v>359</v>
      </c>
      <c r="O17" s="28" t="str">
        <f aca="true">IFERROR(IF(N17="","",DATEVALUE(TEXT(N17,"DD.MM.YYYY"))-TODAY()),"Tarih Yok")</f>
        <v>Tarih Yok</v>
      </c>
      <c r="P17" s="28" t="str">
        <f aca="true">IFERROR(IF(N17="","Tarih Yok",IF(DATEVALUE(TEXT(N17,"DD.MM.YYYY"))&lt;TODAY(),"GECİKMİŞ",IF(DATEVALUE(TEXT(N17,"DD.MM.YYYY"))-TODAY()&lt;=30,"30 GÜN İÇİNDE",IF(DATEVALUE(TEXT(N17,"DD.MM.YYYY"))-TODAY()&lt;=90,"90 GÜN İÇİNDE","Takvimdeyiz")))),"Tarih Kontrol")</f>
        <v>Tarih Kontrol</v>
      </c>
      <c r="Q17" s="28" t="s">
        <v>98</v>
      </c>
      <c r="R17" s="28"/>
      <c r="S17" s="28" t="s">
        <v>406</v>
      </c>
      <c r="T17" s="28" t="s">
        <v>35</v>
      </c>
    </row>
    <row r="18" customFormat="false" ht="15" hidden="false" customHeight="false" outlineLevel="0" collapsed="false">
      <c r="A18" s="28" t="s">
        <v>434</v>
      </c>
      <c r="B18" s="28" t="s">
        <v>344</v>
      </c>
      <c r="C18" s="28" t="s">
        <v>102</v>
      </c>
      <c r="D18" s="28" t="s">
        <v>435</v>
      </c>
      <c r="E18" s="28" t="s">
        <v>436</v>
      </c>
      <c r="F18" s="28" t="s">
        <v>437</v>
      </c>
      <c r="G18" s="29" t="n">
        <v>115</v>
      </c>
      <c r="H18" s="28"/>
      <c r="I18" s="28" t="s">
        <v>349</v>
      </c>
      <c r="J18" s="28"/>
      <c r="K18" s="28" t="s">
        <v>350</v>
      </c>
      <c r="L18" s="28" t="s">
        <v>107</v>
      </c>
      <c r="M18" s="28" t="s">
        <v>369</v>
      </c>
      <c r="N18" s="28"/>
      <c r="O18" s="28" t="str">
        <f aca="true">IFERROR(IF(N18="","",DATEVALUE(TEXT(N18,"DD.MM.YYYY"))-TODAY()),"Tarih Yok")</f>
        <v/>
      </c>
      <c r="P18" s="28" t="str">
        <f aca="true">IFERROR(IF(N18="","Tarih Yok",IF(DATEVALUE(TEXT(N18,"DD.MM.YYYY"))&lt;TODAY(),"GECİKMİŞ",IF(DATEVALUE(TEXT(N18,"DD.MM.YYYY"))-TODAY()&lt;=30,"30 GÜN İÇİNDE",IF(DATEVALUE(TEXT(N18,"DD.MM.YYYY"))-TODAY()&lt;=90,"90 GÜN İÇİNDE","Takvimdeyiz")))),"Tarih Kontrol")</f>
        <v>Tarih Yok</v>
      </c>
      <c r="Q18" s="28" t="s">
        <v>141</v>
      </c>
      <c r="R18" s="28"/>
      <c r="S18" s="28"/>
      <c r="T18" s="28" t="s">
        <v>35</v>
      </c>
    </row>
    <row r="19" customFormat="false" ht="15" hidden="false" customHeight="false" outlineLevel="0" collapsed="false">
      <c r="A19" s="28" t="s">
        <v>438</v>
      </c>
      <c r="B19" s="28" t="s">
        <v>344</v>
      </c>
      <c r="C19" s="28" t="s">
        <v>102</v>
      </c>
      <c r="D19" s="28" t="s">
        <v>439</v>
      </c>
      <c r="E19" s="28" t="s">
        <v>440</v>
      </c>
      <c r="F19" s="28" t="s">
        <v>345</v>
      </c>
      <c r="G19" s="29" t="n">
        <v>115</v>
      </c>
      <c r="H19" s="28" t="s">
        <v>441</v>
      </c>
      <c r="I19" s="28" t="s">
        <v>349</v>
      </c>
      <c r="J19" s="28"/>
      <c r="K19" s="28" t="s">
        <v>350</v>
      </c>
      <c r="L19" s="28" t="s">
        <v>107</v>
      </c>
      <c r="M19" s="28" t="s">
        <v>442</v>
      </c>
      <c r="N19" s="28" t="s">
        <v>443</v>
      </c>
      <c r="O19" s="28" t="str">
        <f aca="true">IFERROR(IF(N19="","",DATEVALUE(TEXT(N19,"DD.MM.YYYY"))-TODAY()),"Tarih Yok")</f>
        <v>Tarih Yok</v>
      </c>
      <c r="P19" s="28" t="str">
        <f aca="true">IFERROR(IF(N19="","Tarih Yok",IF(DATEVALUE(TEXT(N19,"DD.MM.YYYY"))&lt;TODAY(),"GECİKMİŞ",IF(DATEVALUE(TEXT(N19,"DD.MM.YYYY"))-TODAY()&lt;=30,"30 GÜN İÇİNDE",IF(DATEVALUE(TEXT(N19,"DD.MM.YYYY"))-TODAY()&lt;=90,"90 GÜN İÇİNDE","Takvimdeyiz")))),"Tarih Kontrol")</f>
        <v>Tarih Kontrol</v>
      </c>
      <c r="Q19" s="28" t="s">
        <v>98</v>
      </c>
      <c r="R19" s="28"/>
      <c r="S19" s="28" t="s">
        <v>11</v>
      </c>
      <c r="T19" s="28" t="s">
        <v>35</v>
      </c>
    </row>
    <row r="20" customFormat="false" ht="15" hidden="false" customHeight="false" outlineLevel="0" collapsed="false">
      <c r="A20" s="28" t="s">
        <v>444</v>
      </c>
      <c r="B20" s="28" t="s">
        <v>344</v>
      </c>
      <c r="C20" s="28" t="s">
        <v>102</v>
      </c>
      <c r="D20" s="28" t="s">
        <v>445</v>
      </c>
      <c r="E20" s="28" t="s">
        <v>446</v>
      </c>
      <c r="F20" s="28" t="s">
        <v>354</v>
      </c>
      <c r="G20" s="29" t="n">
        <v>115</v>
      </c>
      <c r="H20" s="28" t="s">
        <v>441</v>
      </c>
      <c r="I20" s="28" t="s">
        <v>349</v>
      </c>
      <c r="J20" s="28"/>
      <c r="K20" s="28" t="s">
        <v>350</v>
      </c>
      <c r="L20" s="28" t="s">
        <v>107</v>
      </c>
      <c r="M20" s="28" t="s">
        <v>442</v>
      </c>
      <c r="N20" s="28" t="s">
        <v>443</v>
      </c>
      <c r="O20" s="28" t="str">
        <f aca="true">IFERROR(IF(N20="","",DATEVALUE(TEXT(N20,"DD.MM.YYYY"))-TODAY()),"Tarih Yok")</f>
        <v>Tarih Yok</v>
      </c>
      <c r="P20" s="28" t="str">
        <f aca="true">IFERROR(IF(N20="","Tarih Yok",IF(DATEVALUE(TEXT(N20,"DD.MM.YYYY"))&lt;TODAY(),"GECİKMİŞ",IF(DATEVALUE(TEXT(N20,"DD.MM.YYYY"))-TODAY()&lt;=30,"30 GÜN İÇİNDE",IF(DATEVALUE(TEXT(N20,"DD.MM.YYYY"))-TODAY()&lt;=90,"90 GÜN İÇİNDE","Takvimdeyiz")))),"Tarih Kontrol")</f>
        <v>Tarih Kontrol</v>
      </c>
      <c r="Q20" s="28" t="s">
        <v>98</v>
      </c>
      <c r="R20" s="28"/>
      <c r="S20" s="28" t="s">
        <v>11</v>
      </c>
      <c r="T20" s="28" t="s">
        <v>35</v>
      </c>
    </row>
    <row r="21" customFormat="false" ht="15" hidden="false" customHeight="false" outlineLevel="0" collapsed="false">
      <c r="A21" s="28" t="s">
        <v>447</v>
      </c>
      <c r="B21" s="28" t="s">
        <v>344</v>
      </c>
      <c r="C21" s="28" t="s">
        <v>102</v>
      </c>
      <c r="D21" s="28" t="s">
        <v>448</v>
      </c>
      <c r="E21" s="28" t="s">
        <v>449</v>
      </c>
      <c r="F21" s="28" t="s">
        <v>362</v>
      </c>
      <c r="G21" s="29" t="n">
        <v>115</v>
      </c>
      <c r="H21" s="28" t="s">
        <v>441</v>
      </c>
      <c r="I21" s="28" t="s">
        <v>349</v>
      </c>
      <c r="J21" s="28"/>
      <c r="K21" s="28" t="s">
        <v>350</v>
      </c>
      <c r="L21" s="28" t="s">
        <v>107</v>
      </c>
      <c r="M21" s="28" t="s">
        <v>442</v>
      </c>
      <c r="N21" s="28" t="s">
        <v>443</v>
      </c>
      <c r="O21" s="28" t="str">
        <f aca="true">IFERROR(IF(N21="","",DATEVALUE(TEXT(N21,"DD.MM.YYYY"))-TODAY()),"Tarih Yok")</f>
        <v>Tarih Yok</v>
      </c>
      <c r="P21" s="28" t="str">
        <f aca="true">IFERROR(IF(N21="","Tarih Yok",IF(DATEVALUE(TEXT(N21,"DD.MM.YYYY"))&lt;TODAY(),"GECİKMİŞ",IF(DATEVALUE(TEXT(N21,"DD.MM.YYYY"))-TODAY()&lt;=30,"30 GÜN İÇİNDE",IF(DATEVALUE(TEXT(N21,"DD.MM.YYYY"))-TODAY()&lt;=90,"90 GÜN İÇİNDE","Takvimdeyiz")))),"Tarih Kontrol")</f>
        <v>Tarih Kontrol</v>
      </c>
      <c r="Q21" s="28" t="s">
        <v>98</v>
      </c>
      <c r="R21" s="28"/>
      <c r="S21" s="28" t="s">
        <v>11</v>
      </c>
      <c r="T21" s="28" t="s">
        <v>35</v>
      </c>
    </row>
    <row r="22" customFormat="false" ht="15" hidden="false" customHeight="false" outlineLevel="0" collapsed="false">
      <c r="A22" s="28" t="s">
        <v>450</v>
      </c>
      <c r="B22" s="28" t="s">
        <v>344</v>
      </c>
      <c r="C22" s="28" t="s">
        <v>102</v>
      </c>
      <c r="D22" s="28" t="s">
        <v>451</v>
      </c>
      <c r="E22" s="28" t="s">
        <v>452</v>
      </c>
      <c r="F22" s="28" t="s">
        <v>373</v>
      </c>
      <c r="G22" s="29" t="n">
        <v>115</v>
      </c>
      <c r="H22" s="28" t="s">
        <v>441</v>
      </c>
      <c r="I22" s="28" t="s">
        <v>349</v>
      </c>
      <c r="J22" s="28"/>
      <c r="K22" s="28" t="s">
        <v>350</v>
      </c>
      <c r="L22" s="28" t="s">
        <v>107</v>
      </c>
      <c r="M22" s="28" t="s">
        <v>442</v>
      </c>
      <c r="N22" s="28" t="s">
        <v>443</v>
      </c>
      <c r="O22" s="28" t="str">
        <f aca="true">IFERROR(IF(N22="","",DATEVALUE(TEXT(N22,"DD.MM.YYYY"))-TODAY()),"Tarih Yok")</f>
        <v>Tarih Yok</v>
      </c>
      <c r="P22" s="28" t="str">
        <f aca="true">IFERROR(IF(N22="","Tarih Yok",IF(DATEVALUE(TEXT(N22,"DD.MM.YYYY"))&lt;TODAY(),"GECİKMİŞ",IF(DATEVALUE(TEXT(N22,"DD.MM.YYYY"))-TODAY()&lt;=30,"30 GÜN İÇİNDE",IF(DATEVALUE(TEXT(N22,"DD.MM.YYYY"))-TODAY()&lt;=90,"90 GÜN İÇİNDE","Takvimdeyiz")))),"Tarih Kontrol")</f>
        <v>Tarih Kontrol</v>
      </c>
      <c r="Q22" s="28" t="s">
        <v>98</v>
      </c>
      <c r="R22" s="28"/>
      <c r="S22" s="28" t="s">
        <v>11</v>
      </c>
      <c r="T22" s="28" t="s">
        <v>35</v>
      </c>
    </row>
    <row r="23" customFormat="false" ht="15" hidden="false" customHeight="false" outlineLevel="0" collapsed="false">
      <c r="A23" s="28" t="s">
        <v>453</v>
      </c>
      <c r="B23" s="28" t="s">
        <v>344</v>
      </c>
      <c r="C23" s="28" t="s">
        <v>102</v>
      </c>
      <c r="D23" s="28" t="s">
        <v>454</v>
      </c>
      <c r="E23" s="28" t="s">
        <v>455</v>
      </c>
      <c r="F23" s="28" t="s">
        <v>379</v>
      </c>
      <c r="G23" s="29" t="n">
        <v>115</v>
      </c>
      <c r="H23" s="28" t="s">
        <v>441</v>
      </c>
      <c r="I23" s="28" t="s">
        <v>349</v>
      </c>
      <c r="J23" s="28"/>
      <c r="K23" s="28" t="s">
        <v>350</v>
      </c>
      <c r="L23" s="28" t="s">
        <v>107</v>
      </c>
      <c r="M23" s="28" t="s">
        <v>442</v>
      </c>
      <c r="N23" s="28" t="s">
        <v>443</v>
      </c>
      <c r="O23" s="28" t="str">
        <f aca="true">IFERROR(IF(N23="","",DATEVALUE(TEXT(N23,"DD.MM.YYYY"))-TODAY()),"Tarih Yok")</f>
        <v>Tarih Yok</v>
      </c>
      <c r="P23" s="28" t="str">
        <f aca="true">IFERROR(IF(N23="","Tarih Yok",IF(DATEVALUE(TEXT(N23,"DD.MM.YYYY"))&lt;TODAY(),"GECİKMİŞ",IF(DATEVALUE(TEXT(N23,"DD.MM.YYYY"))-TODAY()&lt;=30,"30 GÜN İÇİNDE",IF(DATEVALUE(TEXT(N23,"DD.MM.YYYY"))-TODAY()&lt;=90,"90 GÜN İÇİNDE","Takvimdeyiz")))),"Tarih Kontrol")</f>
        <v>Tarih Kontrol</v>
      </c>
      <c r="Q23" s="28" t="s">
        <v>98</v>
      </c>
      <c r="R23" s="28"/>
      <c r="S23" s="28" t="s">
        <v>11</v>
      </c>
      <c r="T23" s="28" t="s">
        <v>35</v>
      </c>
    </row>
    <row r="24" customFormat="false" ht="15" hidden="false" customHeight="false" outlineLevel="0" collapsed="false">
      <c r="A24" s="28" t="s">
        <v>456</v>
      </c>
      <c r="B24" s="28" t="s">
        <v>344</v>
      </c>
      <c r="C24" s="28" t="s">
        <v>102</v>
      </c>
      <c r="D24" s="28" t="s">
        <v>457</v>
      </c>
      <c r="E24" s="28" t="s">
        <v>458</v>
      </c>
      <c r="F24" s="28" t="s">
        <v>393</v>
      </c>
      <c r="G24" s="29" t="n">
        <v>115</v>
      </c>
      <c r="H24" s="28" t="s">
        <v>441</v>
      </c>
      <c r="I24" s="28" t="s">
        <v>349</v>
      </c>
      <c r="J24" s="28"/>
      <c r="K24" s="28" t="s">
        <v>350</v>
      </c>
      <c r="L24" s="28" t="s">
        <v>107</v>
      </c>
      <c r="M24" s="28" t="s">
        <v>442</v>
      </c>
      <c r="N24" s="28" t="s">
        <v>443</v>
      </c>
      <c r="O24" s="28" t="str">
        <f aca="true">IFERROR(IF(N24="","",DATEVALUE(TEXT(N24,"DD.MM.YYYY"))-TODAY()),"Tarih Yok")</f>
        <v>Tarih Yok</v>
      </c>
      <c r="P24" s="28" t="str">
        <f aca="true">IFERROR(IF(N24="","Tarih Yok",IF(DATEVALUE(TEXT(N24,"DD.MM.YYYY"))&lt;TODAY(),"GECİKMİŞ",IF(DATEVALUE(TEXT(N24,"DD.MM.YYYY"))-TODAY()&lt;=30,"30 GÜN İÇİNDE",IF(DATEVALUE(TEXT(N24,"DD.MM.YYYY"))-TODAY()&lt;=90,"90 GÜN İÇİNDE","Takvimdeyiz")))),"Tarih Kontrol")</f>
        <v>Tarih Kontrol</v>
      </c>
      <c r="Q24" s="28" t="s">
        <v>98</v>
      </c>
      <c r="R24" s="28"/>
      <c r="S24" s="28" t="s">
        <v>11</v>
      </c>
      <c r="T24" s="28" t="s">
        <v>35</v>
      </c>
    </row>
    <row r="25" customFormat="false" ht="15" hidden="false" customHeight="false" outlineLevel="0" collapsed="false">
      <c r="A25" s="28" t="s">
        <v>459</v>
      </c>
      <c r="B25" s="28" t="s">
        <v>344</v>
      </c>
      <c r="C25" s="28" t="s">
        <v>102</v>
      </c>
      <c r="D25" s="28" t="s">
        <v>460</v>
      </c>
      <c r="E25" s="28" t="s">
        <v>461</v>
      </c>
      <c r="F25" s="28" t="s">
        <v>397</v>
      </c>
      <c r="G25" s="29" t="n">
        <v>115</v>
      </c>
      <c r="H25" s="28" t="s">
        <v>441</v>
      </c>
      <c r="I25" s="28" t="s">
        <v>349</v>
      </c>
      <c r="J25" s="28"/>
      <c r="K25" s="28" t="s">
        <v>350</v>
      </c>
      <c r="L25" s="28" t="s">
        <v>107</v>
      </c>
      <c r="M25" s="28" t="s">
        <v>442</v>
      </c>
      <c r="N25" s="28" t="s">
        <v>443</v>
      </c>
      <c r="O25" s="28" t="str">
        <f aca="true">IFERROR(IF(N25="","",DATEVALUE(TEXT(N25,"DD.MM.YYYY"))-TODAY()),"Tarih Yok")</f>
        <v>Tarih Yok</v>
      </c>
      <c r="P25" s="28" t="str">
        <f aca="true">IFERROR(IF(N25="","Tarih Yok",IF(DATEVALUE(TEXT(N25,"DD.MM.YYYY"))&lt;TODAY(),"GECİKMİŞ",IF(DATEVALUE(TEXT(N25,"DD.MM.YYYY"))-TODAY()&lt;=30,"30 GÜN İÇİNDE",IF(DATEVALUE(TEXT(N25,"DD.MM.YYYY"))-TODAY()&lt;=90,"90 GÜN İÇİNDE","Takvimdeyiz")))),"Tarih Kontrol")</f>
        <v>Tarih Kontrol</v>
      </c>
      <c r="Q25" s="28" t="s">
        <v>98</v>
      </c>
      <c r="R25" s="28"/>
      <c r="S25" s="28" t="s">
        <v>11</v>
      </c>
      <c r="T25" s="28" t="s">
        <v>35</v>
      </c>
    </row>
    <row r="26" customFormat="false" ht="15" hidden="false" customHeight="false" outlineLevel="0" collapsed="false">
      <c r="A26" s="28" t="s">
        <v>462</v>
      </c>
      <c r="B26" s="28" t="s">
        <v>344</v>
      </c>
      <c r="C26" s="28" t="s">
        <v>102</v>
      </c>
      <c r="D26" s="28" t="s">
        <v>463</v>
      </c>
      <c r="E26" s="28" t="s">
        <v>464</v>
      </c>
      <c r="F26" s="28" t="s">
        <v>401</v>
      </c>
      <c r="G26" s="29" t="n">
        <v>115</v>
      </c>
      <c r="H26" s="28" t="s">
        <v>441</v>
      </c>
      <c r="I26" s="28" t="s">
        <v>349</v>
      </c>
      <c r="J26" s="28"/>
      <c r="K26" s="28" t="s">
        <v>350</v>
      </c>
      <c r="L26" s="28" t="s">
        <v>107</v>
      </c>
      <c r="M26" s="28" t="s">
        <v>442</v>
      </c>
      <c r="N26" s="28" t="s">
        <v>443</v>
      </c>
      <c r="O26" s="28" t="str">
        <f aca="true">IFERROR(IF(N26="","",DATEVALUE(TEXT(N26,"DD.MM.YYYY"))-TODAY()),"Tarih Yok")</f>
        <v>Tarih Yok</v>
      </c>
      <c r="P26" s="28" t="str">
        <f aca="true">IFERROR(IF(N26="","Tarih Yok",IF(DATEVALUE(TEXT(N26,"DD.MM.YYYY"))&lt;TODAY(),"GECİKMİŞ",IF(DATEVALUE(TEXT(N26,"DD.MM.YYYY"))-TODAY()&lt;=30,"30 GÜN İÇİNDE",IF(DATEVALUE(TEXT(N26,"DD.MM.YYYY"))-TODAY()&lt;=90,"90 GÜN İÇİNDE","Takvimdeyiz")))),"Tarih Kontrol")</f>
        <v>Tarih Kontrol</v>
      </c>
      <c r="Q26" s="28" t="s">
        <v>98</v>
      </c>
      <c r="R26" s="28"/>
      <c r="S26" s="28" t="s">
        <v>11</v>
      </c>
      <c r="T26" s="28" t="s">
        <v>35</v>
      </c>
    </row>
    <row r="27" customFormat="false" ht="15" hidden="false" customHeight="false" outlineLevel="0" collapsed="false">
      <c r="A27" s="28" t="s">
        <v>465</v>
      </c>
      <c r="B27" s="28" t="s">
        <v>344</v>
      </c>
      <c r="C27" s="28" t="s">
        <v>102</v>
      </c>
      <c r="D27" s="28" t="s">
        <v>466</v>
      </c>
      <c r="E27" s="28" t="s">
        <v>467</v>
      </c>
      <c r="F27" s="28" t="s">
        <v>383</v>
      </c>
      <c r="G27" s="29" t="n">
        <v>67</v>
      </c>
      <c r="H27" s="28" t="s">
        <v>441</v>
      </c>
      <c r="I27" s="28" t="s">
        <v>349</v>
      </c>
      <c r="J27" s="28"/>
      <c r="K27" s="28" t="s">
        <v>350</v>
      </c>
      <c r="L27" s="28" t="s">
        <v>107</v>
      </c>
      <c r="M27" s="28" t="s">
        <v>442</v>
      </c>
      <c r="N27" s="28" t="s">
        <v>443</v>
      </c>
      <c r="O27" s="28" t="str">
        <f aca="true">IFERROR(IF(N27="","",DATEVALUE(TEXT(N27,"DD.MM.YYYY"))-TODAY()),"Tarih Yok")</f>
        <v>Tarih Yok</v>
      </c>
      <c r="P27" s="28" t="str">
        <f aca="true">IFERROR(IF(N27="","Tarih Yok",IF(DATEVALUE(TEXT(N27,"DD.MM.YYYY"))&lt;TODAY(),"GECİKMİŞ",IF(DATEVALUE(TEXT(N27,"DD.MM.YYYY"))-TODAY()&lt;=30,"30 GÜN İÇİNDE",IF(DATEVALUE(TEXT(N27,"DD.MM.YYYY"))-TODAY()&lt;=90,"90 GÜN İÇİNDE","Takvimdeyiz")))),"Tarih Kontrol")</f>
        <v>Tarih Kontrol</v>
      </c>
      <c r="Q27" s="28" t="s">
        <v>98</v>
      </c>
      <c r="R27" s="28"/>
      <c r="S27" s="28" t="s">
        <v>11</v>
      </c>
      <c r="T27" s="28" t="s">
        <v>35</v>
      </c>
    </row>
    <row r="28" customFormat="false" ht="15" hidden="false" customHeight="false" outlineLevel="0" collapsed="false">
      <c r="A28" s="28" t="s">
        <v>468</v>
      </c>
      <c r="B28" s="28" t="s">
        <v>344</v>
      </c>
      <c r="C28" s="28" t="s">
        <v>102</v>
      </c>
      <c r="D28" s="28" t="s">
        <v>469</v>
      </c>
      <c r="E28" s="28" t="s">
        <v>470</v>
      </c>
      <c r="F28" s="28" t="s">
        <v>389</v>
      </c>
      <c r="G28" s="29" t="n">
        <v>67</v>
      </c>
      <c r="H28" s="28" t="s">
        <v>441</v>
      </c>
      <c r="I28" s="28" t="s">
        <v>349</v>
      </c>
      <c r="J28" s="28"/>
      <c r="K28" s="28" t="s">
        <v>350</v>
      </c>
      <c r="L28" s="28" t="s">
        <v>107</v>
      </c>
      <c r="M28" s="28" t="s">
        <v>442</v>
      </c>
      <c r="N28" s="28" t="s">
        <v>443</v>
      </c>
      <c r="O28" s="28" t="str">
        <f aca="true">IFERROR(IF(N28="","",DATEVALUE(TEXT(N28,"DD.MM.YYYY"))-TODAY()),"Tarih Yok")</f>
        <v>Tarih Yok</v>
      </c>
      <c r="P28" s="28" t="str">
        <f aca="true">IFERROR(IF(N28="","Tarih Yok",IF(DATEVALUE(TEXT(N28,"DD.MM.YYYY"))&lt;TODAY(),"GECİKMİŞ",IF(DATEVALUE(TEXT(N28,"DD.MM.YYYY"))-TODAY()&lt;=30,"30 GÜN İÇİNDE",IF(DATEVALUE(TEXT(N28,"DD.MM.YYYY"))-TODAY()&lt;=90,"90 GÜN İÇİNDE","Takvimdeyiz")))),"Tarih Kontrol")</f>
        <v>Tarih Kontrol</v>
      </c>
      <c r="Q28" s="28" t="s">
        <v>98</v>
      </c>
      <c r="R28" s="28"/>
      <c r="S28" s="28" t="s">
        <v>11</v>
      </c>
      <c r="T28" s="28" t="s">
        <v>35</v>
      </c>
    </row>
    <row r="29" customFormat="false" ht="15" hidden="false" customHeight="false" outlineLevel="0" collapsed="false">
      <c r="A29" s="28" t="s">
        <v>471</v>
      </c>
      <c r="B29" s="28" t="s">
        <v>344</v>
      </c>
      <c r="C29" s="28" t="s">
        <v>102</v>
      </c>
      <c r="D29" s="28" t="s">
        <v>472</v>
      </c>
      <c r="E29" s="28" t="s">
        <v>473</v>
      </c>
      <c r="F29" s="28" t="s">
        <v>408</v>
      </c>
      <c r="G29" s="29" t="n">
        <v>53</v>
      </c>
      <c r="H29" s="28" t="s">
        <v>474</v>
      </c>
      <c r="I29" s="28" t="s">
        <v>366</v>
      </c>
      <c r="J29" s="28"/>
      <c r="K29" s="28" t="s">
        <v>350</v>
      </c>
      <c r="L29" s="28" t="s">
        <v>368</v>
      </c>
      <c r="M29" s="28" t="s">
        <v>475</v>
      </c>
      <c r="N29" s="28" t="s">
        <v>476</v>
      </c>
      <c r="O29" s="28" t="str">
        <f aca="true">IFERROR(IF(N29="","",DATEVALUE(TEXT(N29,"DD.MM.YYYY"))-TODAY()),"Tarih Yok")</f>
        <v>Tarih Yok</v>
      </c>
      <c r="P29" s="28" t="str">
        <f aca="true">IFERROR(IF(N29="","Tarih Yok",IF(DATEVALUE(TEXT(N29,"DD.MM.YYYY"))&lt;TODAY(),"GECİKMİŞ",IF(DATEVALUE(TEXT(N29,"DD.MM.YYYY"))-TODAY()&lt;=30,"30 GÜN İÇİNDE",IF(DATEVALUE(TEXT(N29,"DD.MM.YYYY"))-TODAY()&lt;=90,"90 GÜN İÇİNDE","Takvimdeyiz")))),"Tarih Kontrol")</f>
        <v>Tarih Kontrol</v>
      </c>
      <c r="Q29" s="28" t="s">
        <v>98</v>
      </c>
      <c r="R29" s="28"/>
      <c r="S29" s="28" t="s">
        <v>11</v>
      </c>
      <c r="T29" s="28" t="s">
        <v>35</v>
      </c>
    </row>
    <row r="30" customFormat="false" ht="15" hidden="false" customHeight="false" outlineLevel="0" collapsed="false">
      <c r="A30" s="28" t="s">
        <v>477</v>
      </c>
      <c r="B30" s="28" t="s">
        <v>344</v>
      </c>
      <c r="C30" s="28" t="s">
        <v>102</v>
      </c>
      <c r="D30" s="28" t="s">
        <v>478</v>
      </c>
      <c r="E30" s="28" t="s">
        <v>479</v>
      </c>
      <c r="F30" s="28" t="s">
        <v>413</v>
      </c>
      <c r="G30" s="29" t="n">
        <v>53</v>
      </c>
      <c r="H30" s="28" t="s">
        <v>474</v>
      </c>
      <c r="I30" s="28" t="s">
        <v>366</v>
      </c>
      <c r="J30" s="28"/>
      <c r="K30" s="28" t="s">
        <v>350</v>
      </c>
      <c r="L30" s="28" t="s">
        <v>368</v>
      </c>
      <c r="M30" s="28" t="s">
        <v>475</v>
      </c>
      <c r="N30" s="28" t="s">
        <v>476</v>
      </c>
      <c r="O30" s="28" t="str">
        <f aca="true">IFERROR(IF(N30="","",DATEVALUE(TEXT(N30,"DD.MM.YYYY"))-TODAY()),"Tarih Yok")</f>
        <v>Tarih Yok</v>
      </c>
      <c r="P30" s="28" t="str">
        <f aca="true">IFERROR(IF(N30="","Tarih Yok",IF(DATEVALUE(TEXT(N30,"DD.MM.YYYY"))&lt;TODAY(),"GECİKMİŞ",IF(DATEVALUE(TEXT(N30,"DD.MM.YYYY"))-TODAY()&lt;=30,"30 GÜN İÇİNDE",IF(DATEVALUE(TEXT(N30,"DD.MM.YYYY"))-TODAY()&lt;=90,"90 GÜN İÇİNDE","Takvimdeyiz")))),"Tarih Kontrol")</f>
        <v>Tarih Kontrol</v>
      </c>
      <c r="Q30" s="28" t="s">
        <v>98</v>
      </c>
      <c r="R30" s="28"/>
      <c r="S30" s="28" t="s">
        <v>11</v>
      </c>
      <c r="T30" s="28" t="s">
        <v>35</v>
      </c>
    </row>
    <row r="31" customFormat="false" ht="15" hidden="false" customHeight="false" outlineLevel="0" collapsed="false">
      <c r="A31" s="28" t="s">
        <v>480</v>
      </c>
      <c r="B31" s="28" t="s">
        <v>344</v>
      </c>
      <c r="C31" s="28" t="s">
        <v>102</v>
      </c>
      <c r="D31" s="28" t="s">
        <v>481</v>
      </c>
      <c r="E31" s="28" t="s">
        <v>482</v>
      </c>
      <c r="F31" s="28" t="s">
        <v>421</v>
      </c>
      <c r="G31" s="29" t="n">
        <v>53</v>
      </c>
      <c r="H31" s="28" t="s">
        <v>474</v>
      </c>
      <c r="I31" s="28" t="s">
        <v>366</v>
      </c>
      <c r="J31" s="28"/>
      <c r="K31" s="28" t="s">
        <v>350</v>
      </c>
      <c r="L31" s="28" t="s">
        <v>368</v>
      </c>
      <c r="M31" s="28" t="s">
        <v>475</v>
      </c>
      <c r="N31" s="28" t="s">
        <v>476</v>
      </c>
      <c r="O31" s="28" t="str">
        <f aca="true">IFERROR(IF(N31="","",DATEVALUE(TEXT(N31,"DD.MM.YYYY"))-TODAY()),"Tarih Yok")</f>
        <v>Tarih Yok</v>
      </c>
      <c r="P31" s="28" t="str">
        <f aca="true">IFERROR(IF(N31="","Tarih Yok",IF(DATEVALUE(TEXT(N31,"DD.MM.YYYY"))&lt;TODAY(),"GECİKMİŞ",IF(DATEVALUE(TEXT(N31,"DD.MM.YYYY"))-TODAY()&lt;=30,"30 GÜN İÇİNDE",IF(DATEVALUE(TEXT(N31,"DD.MM.YYYY"))-TODAY()&lt;=90,"90 GÜN İÇİNDE","Takvimdeyiz")))),"Tarih Kontrol")</f>
        <v>Tarih Kontrol</v>
      </c>
      <c r="Q31" s="28" t="s">
        <v>98</v>
      </c>
      <c r="R31" s="28"/>
      <c r="S31" s="28" t="s">
        <v>11</v>
      </c>
      <c r="T31" s="28" t="s">
        <v>35</v>
      </c>
    </row>
    <row r="32" customFormat="false" ht="15" hidden="false" customHeight="false" outlineLevel="0" collapsed="false">
      <c r="A32" s="28" t="s">
        <v>483</v>
      </c>
      <c r="B32" s="28" t="s">
        <v>344</v>
      </c>
      <c r="C32" s="28" t="s">
        <v>102</v>
      </c>
      <c r="D32" s="28" t="s">
        <v>484</v>
      </c>
      <c r="E32" s="28" t="s">
        <v>485</v>
      </c>
      <c r="F32" s="28" t="s">
        <v>425</v>
      </c>
      <c r="G32" s="29" t="n">
        <v>10</v>
      </c>
      <c r="H32" s="28" t="s">
        <v>486</v>
      </c>
      <c r="I32" s="28" t="s">
        <v>349</v>
      </c>
      <c r="J32" s="28"/>
      <c r="K32" s="28" t="s">
        <v>350</v>
      </c>
      <c r="L32" s="28" t="s">
        <v>107</v>
      </c>
      <c r="M32" s="28" t="s">
        <v>487</v>
      </c>
      <c r="N32" s="28" t="s">
        <v>488</v>
      </c>
      <c r="O32" s="28" t="str">
        <f aca="true">IFERROR(IF(N32="","",DATEVALUE(TEXT(N32,"DD.MM.YYYY"))-TODAY()),"Tarih Yok")</f>
        <v>Tarih Yok</v>
      </c>
      <c r="P32" s="28" t="str">
        <f aca="true">IFERROR(IF(N32="","Tarih Yok",IF(DATEVALUE(TEXT(N32,"DD.MM.YYYY"))&lt;TODAY(),"GECİKMİŞ",IF(DATEVALUE(TEXT(N32,"DD.MM.YYYY"))-TODAY()&lt;=30,"30 GÜN İÇİNDE",IF(DATEVALUE(TEXT(N32,"DD.MM.YYYY"))-TODAY()&lt;=90,"90 GÜN İÇİNDE","Takvimdeyiz")))),"Tarih Kontrol")</f>
        <v>Tarih Kontrol</v>
      </c>
      <c r="Q32" s="28" t="s">
        <v>132</v>
      </c>
      <c r="R32" s="28"/>
      <c r="S32" s="28" t="s">
        <v>489</v>
      </c>
      <c r="T32" s="28" t="s">
        <v>35</v>
      </c>
    </row>
    <row r="33" customFormat="false" ht="15" hidden="false" customHeight="false" outlineLevel="0" collapsed="false">
      <c r="A33" s="28" t="s">
        <v>490</v>
      </c>
      <c r="B33" s="28" t="s">
        <v>344</v>
      </c>
      <c r="C33" s="28" t="s">
        <v>102</v>
      </c>
      <c r="D33" s="28" t="s">
        <v>491</v>
      </c>
      <c r="E33" s="28" t="s">
        <v>492</v>
      </c>
      <c r="F33" s="28" t="s">
        <v>431</v>
      </c>
      <c r="G33" s="29" t="n">
        <v>20</v>
      </c>
      <c r="H33" s="28" t="s">
        <v>441</v>
      </c>
      <c r="I33" s="28" t="s">
        <v>349</v>
      </c>
      <c r="J33" s="28"/>
      <c r="K33" s="28" t="s">
        <v>350</v>
      </c>
      <c r="L33" s="28" t="s">
        <v>107</v>
      </c>
      <c r="M33" s="28" t="s">
        <v>487</v>
      </c>
      <c r="N33" s="28" t="s">
        <v>488</v>
      </c>
      <c r="O33" s="28" t="str">
        <f aca="true">IFERROR(IF(N33="","",DATEVALUE(TEXT(N33,"DD.MM.YYYY"))-TODAY()),"Tarih Yok")</f>
        <v>Tarih Yok</v>
      </c>
      <c r="P33" s="28" t="str">
        <f aca="true">IFERROR(IF(N33="","Tarih Yok",IF(DATEVALUE(TEXT(N33,"DD.MM.YYYY"))&lt;TODAY(),"GECİKMİŞ",IF(DATEVALUE(TEXT(N33,"DD.MM.YYYY"))-TODAY()&lt;=30,"30 GÜN İÇİNDE",IF(DATEVALUE(TEXT(N33,"DD.MM.YYYY"))-TODAY()&lt;=90,"90 GÜN İÇİNDE","Takvimdeyiz")))),"Tarih Kontrol")</f>
        <v>Tarih Kontrol</v>
      </c>
      <c r="Q33" s="28" t="s">
        <v>132</v>
      </c>
      <c r="R33" s="28"/>
      <c r="S33" s="28" t="s">
        <v>493</v>
      </c>
      <c r="T33" s="28" t="s">
        <v>35</v>
      </c>
    </row>
    <row r="34" customFormat="false" ht="15" hidden="false" customHeight="false" outlineLevel="0" collapsed="false">
      <c r="A34" s="28" t="s">
        <v>494</v>
      </c>
      <c r="B34" s="28" t="s">
        <v>344</v>
      </c>
      <c r="C34" s="28" t="s">
        <v>102</v>
      </c>
      <c r="D34" s="28" t="s">
        <v>495</v>
      </c>
      <c r="E34" s="28" t="s">
        <v>496</v>
      </c>
      <c r="F34" s="28"/>
      <c r="G34" s="29" t="n">
        <v>23</v>
      </c>
      <c r="H34" s="28" t="s">
        <v>497</v>
      </c>
      <c r="I34" s="28" t="s">
        <v>349</v>
      </c>
      <c r="J34" s="28"/>
      <c r="K34" s="28" t="s">
        <v>350</v>
      </c>
      <c r="L34" s="28" t="s">
        <v>107</v>
      </c>
      <c r="M34" s="28" t="s">
        <v>487</v>
      </c>
      <c r="N34" s="28" t="s">
        <v>498</v>
      </c>
      <c r="O34" s="28" t="str">
        <f aca="true">IFERROR(IF(N34="","",DATEVALUE(TEXT(N34,"DD.MM.YYYY"))-TODAY()),"Tarih Yok")</f>
        <v>Tarih Yok</v>
      </c>
      <c r="P34" s="28" t="str">
        <f aca="true">IFERROR(IF(N34="","Tarih Yok",IF(DATEVALUE(TEXT(N34,"DD.MM.YYYY"))&lt;TODAY(),"GECİKMİŞ",IF(DATEVALUE(TEXT(N34,"DD.MM.YYYY"))-TODAY()&lt;=30,"30 GÜN İÇİNDE",IF(DATEVALUE(TEXT(N34,"DD.MM.YYYY"))-TODAY()&lt;=90,"90 GÜN İÇİNDE","Takvimdeyiz")))),"Tarih Kontrol")</f>
        <v>Tarih Kontrol</v>
      </c>
      <c r="Q34" s="28" t="s">
        <v>98</v>
      </c>
      <c r="R34" s="28"/>
      <c r="S34" s="28" t="s">
        <v>11</v>
      </c>
      <c r="T34" s="28" t="s">
        <v>35</v>
      </c>
    </row>
    <row r="35" customFormat="false" ht="15" hidden="false" customHeight="false" outlineLevel="0" collapsed="false">
      <c r="A35" s="28" t="s">
        <v>499</v>
      </c>
      <c r="B35" s="28" t="s">
        <v>344</v>
      </c>
      <c r="C35" s="28" t="s">
        <v>102</v>
      </c>
      <c r="D35" s="28" t="s">
        <v>500</v>
      </c>
      <c r="E35" s="28" t="s">
        <v>501</v>
      </c>
      <c r="F35" s="28" t="s">
        <v>345</v>
      </c>
      <c r="G35" s="29" t="n">
        <v>60</v>
      </c>
      <c r="H35" s="28" t="s">
        <v>502</v>
      </c>
      <c r="I35" s="28" t="s">
        <v>366</v>
      </c>
      <c r="J35" s="28"/>
      <c r="K35" s="28" t="s">
        <v>350</v>
      </c>
      <c r="L35" s="28" t="s">
        <v>107</v>
      </c>
      <c r="M35" s="28" t="s">
        <v>417</v>
      </c>
      <c r="N35" s="28" t="s">
        <v>418</v>
      </c>
      <c r="O35" s="28" t="str">
        <f aca="true">IFERROR(IF(N35="","",DATEVALUE(TEXT(N35,"DD.MM.YYYY"))-TODAY()),"Tarih Yok")</f>
        <v>Tarih Yok</v>
      </c>
      <c r="P35" s="28" t="str">
        <f aca="true">IFERROR(IF(N35="","Tarih Yok",IF(DATEVALUE(TEXT(N35,"DD.MM.YYYY"))&lt;TODAY(),"GECİKMİŞ",IF(DATEVALUE(TEXT(N35,"DD.MM.YYYY"))-TODAY()&lt;=30,"30 GÜN İÇİNDE",IF(DATEVALUE(TEXT(N35,"DD.MM.YYYY"))-TODAY()&lt;=90,"90 GÜN İÇİNDE","Takvimdeyiz")))),"Tarih Kontrol")</f>
        <v>Tarih Kontrol</v>
      </c>
      <c r="Q35" s="28" t="s">
        <v>98</v>
      </c>
      <c r="R35" s="28"/>
      <c r="S35" s="28" t="s">
        <v>503</v>
      </c>
      <c r="T35" s="28" t="s">
        <v>35</v>
      </c>
    </row>
    <row r="36" customFormat="false" ht="15" hidden="false" customHeight="false" outlineLevel="0" collapsed="false">
      <c r="A36" s="28" t="s">
        <v>504</v>
      </c>
      <c r="B36" s="28" t="s">
        <v>344</v>
      </c>
      <c r="C36" s="28" t="s">
        <v>102</v>
      </c>
      <c r="D36" s="28" t="s">
        <v>505</v>
      </c>
      <c r="E36" s="28" t="s">
        <v>506</v>
      </c>
      <c r="F36" s="28" t="s">
        <v>354</v>
      </c>
      <c r="G36" s="29" t="n">
        <v>60</v>
      </c>
      <c r="H36" s="28" t="s">
        <v>502</v>
      </c>
      <c r="I36" s="28" t="s">
        <v>366</v>
      </c>
      <c r="J36" s="28"/>
      <c r="K36" s="28" t="s">
        <v>350</v>
      </c>
      <c r="L36" s="28" t="s">
        <v>107</v>
      </c>
      <c r="M36" s="28" t="s">
        <v>417</v>
      </c>
      <c r="N36" s="28" t="s">
        <v>418</v>
      </c>
      <c r="O36" s="28" t="str">
        <f aca="true">IFERROR(IF(N36="","",DATEVALUE(TEXT(N36,"DD.MM.YYYY"))-TODAY()),"Tarih Yok")</f>
        <v>Tarih Yok</v>
      </c>
      <c r="P36" s="28" t="str">
        <f aca="true">IFERROR(IF(N36="","Tarih Yok",IF(DATEVALUE(TEXT(N36,"DD.MM.YYYY"))&lt;TODAY(),"GECİKMİŞ",IF(DATEVALUE(TEXT(N36,"DD.MM.YYYY"))-TODAY()&lt;=30,"30 GÜN İÇİNDE",IF(DATEVALUE(TEXT(N36,"DD.MM.YYYY"))-TODAY()&lt;=90,"90 GÜN İÇİNDE","Takvimdeyiz")))),"Tarih Kontrol")</f>
        <v>Tarih Kontrol</v>
      </c>
      <c r="Q36" s="28" t="s">
        <v>98</v>
      </c>
      <c r="R36" s="28"/>
      <c r="S36" s="28" t="s">
        <v>503</v>
      </c>
      <c r="T36" s="28" t="s">
        <v>35</v>
      </c>
    </row>
    <row r="37" customFormat="false" ht="15" hidden="false" customHeight="false" outlineLevel="0" collapsed="false">
      <c r="A37" s="28" t="s">
        <v>507</v>
      </c>
      <c r="B37" s="28" t="s">
        <v>344</v>
      </c>
      <c r="C37" s="28" t="s">
        <v>102</v>
      </c>
      <c r="D37" s="28" t="s">
        <v>508</v>
      </c>
      <c r="E37" s="28" t="s">
        <v>509</v>
      </c>
      <c r="F37" s="28" t="s">
        <v>345</v>
      </c>
      <c r="G37" s="29" t="n">
        <v>75</v>
      </c>
      <c r="H37" s="28" t="s">
        <v>510</v>
      </c>
      <c r="I37" s="28" t="s">
        <v>366</v>
      </c>
      <c r="J37" s="28"/>
      <c r="K37" s="28" t="s">
        <v>116</v>
      </c>
      <c r="L37" s="28" t="s">
        <v>368</v>
      </c>
      <c r="M37" s="28" t="s">
        <v>511</v>
      </c>
      <c r="N37" s="28" t="s">
        <v>512</v>
      </c>
      <c r="O37" s="28" t="str">
        <f aca="true">IFERROR(IF(N37="","",DATEVALUE(TEXT(N37,"DD.MM.YYYY"))-TODAY()),"Tarih Yok")</f>
        <v>Tarih Yok</v>
      </c>
      <c r="P37" s="28" t="str">
        <f aca="true">IFERROR(IF(N37="","Tarih Yok",IF(DATEVALUE(TEXT(N37,"DD.MM.YYYY"))&lt;TODAY(),"GECİKMİŞ",IF(DATEVALUE(TEXT(N37,"DD.MM.YYYY"))-TODAY()&lt;=30,"30 GÜN İÇİNDE",IF(DATEVALUE(TEXT(N37,"DD.MM.YYYY"))-TODAY()&lt;=90,"90 GÜN İÇİNDE","Takvimdeyiz")))),"Tarih Kontrol")</f>
        <v>Tarih Kontrol</v>
      </c>
      <c r="Q37" s="28" t="s">
        <v>98</v>
      </c>
      <c r="R37" s="28"/>
      <c r="S37" s="28" t="s">
        <v>513</v>
      </c>
      <c r="T37" s="28" t="s">
        <v>35</v>
      </c>
    </row>
    <row r="38" customFormat="false" ht="15" hidden="false" customHeight="false" outlineLevel="0" collapsed="false">
      <c r="A38" s="28" t="s">
        <v>514</v>
      </c>
      <c r="B38" s="28" t="s">
        <v>344</v>
      </c>
      <c r="C38" s="28" t="s">
        <v>102</v>
      </c>
      <c r="D38" s="28" t="s">
        <v>515</v>
      </c>
      <c r="E38" s="28" t="s">
        <v>516</v>
      </c>
      <c r="F38" s="28" t="s">
        <v>354</v>
      </c>
      <c r="G38" s="29" t="n">
        <v>75</v>
      </c>
      <c r="H38" s="28" t="s">
        <v>510</v>
      </c>
      <c r="I38" s="28" t="s">
        <v>366</v>
      </c>
      <c r="J38" s="28"/>
      <c r="K38" s="28" t="s">
        <v>116</v>
      </c>
      <c r="L38" s="28" t="s">
        <v>368</v>
      </c>
      <c r="M38" s="28" t="s">
        <v>511</v>
      </c>
      <c r="N38" s="28" t="s">
        <v>512</v>
      </c>
      <c r="O38" s="28" t="str">
        <f aca="true">IFERROR(IF(N38="","",DATEVALUE(TEXT(N38,"DD.MM.YYYY"))-TODAY()),"Tarih Yok")</f>
        <v>Tarih Yok</v>
      </c>
      <c r="P38" s="28" t="str">
        <f aca="true">IFERROR(IF(N38="","Tarih Yok",IF(DATEVALUE(TEXT(N38,"DD.MM.YYYY"))&lt;TODAY(),"GECİKMİŞ",IF(DATEVALUE(TEXT(N38,"DD.MM.YYYY"))-TODAY()&lt;=30,"30 GÜN İÇİNDE",IF(DATEVALUE(TEXT(N38,"DD.MM.YYYY"))-TODAY()&lt;=90,"90 GÜN İÇİNDE","Takvimdeyiz")))),"Tarih Kontrol")</f>
        <v>Tarih Kontrol</v>
      </c>
      <c r="Q38" s="28" t="s">
        <v>98</v>
      </c>
      <c r="R38" s="28"/>
      <c r="S38" s="28" t="s">
        <v>406</v>
      </c>
      <c r="T38" s="28" t="s">
        <v>35</v>
      </c>
    </row>
    <row r="39" customFormat="false" ht="15" hidden="false" customHeight="false" outlineLevel="0" collapsed="false">
      <c r="A39" s="28" t="s">
        <v>517</v>
      </c>
      <c r="B39" s="28" t="s">
        <v>344</v>
      </c>
      <c r="C39" s="28" t="s">
        <v>102</v>
      </c>
      <c r="D39" s="28" t="s">
        <v>518</v>
      </c>
      <c r="E39" s="28" t="s">
        <v>519</v>
      </c>
      <c r="F39" s="28" t="s">
        <v>362</v>
      </c>
      <c r="G39" s="29" t="n">
        <v>75</v>
      </c>
      <c r="H39" s="28" t="s">
        <v>520</v>
      </c>
      <c r="I39" s="28" t="s">
        <v>366</v>
      </c>
      <c r="J39" s="28"/>
      <c r="K39" s="28" t="s">
        <v>116</v>
      </c>
      <c r="L39" s="28" t="s">
        <v>368</v>
      </c>
      <c r="M39" s="28" t="s">
        <v>511</v>
      </c>
      <c r="N39" s="28" t="s">
        <v>512</v>
      </c>
      <c r="O39" s="28" t="str">
        <f aca="true">IFERROR(IF(N39="","",DATEVALUE(TEXT(N39,"DD.MM.YYYY"))-TODAY()),"Tarih Yok")</f>
        <v>Tarih Yok</v>
      </c>
      <c r="P39" s="28" t="str">
        <f aca="true">IFERROR(IF(N39="","Tarih Yok",IF(DATEVALUE(TEXT(N39,"DD.MM.YYYY"))&lt;TODAY(),"GECİKMİŞ",IF(DATEVALUE(TEXT(N39,"DD.MM.YYYY"))-TODAY()&lt;=30,"30 GÜN İÇİNDE",IF(DATEVALUE(TEXT(N39,"DD.MM.YYYY"))-TODAY()&lt;=90,"90 GÜN İÇİNDE","Takvimdeyiz")))),"Tarih Kontrol")</f>
        <v>Tarih Kontrol</v>
      </c>
      <c r="Q39" s="28" t="s">
        <v>98</v>
      </c>
      <c r="R39" s="28"/>
      <c r="S39" s="28" t="s">
        <v>406</v>
      </c>
      <c r="T39" s="28" t="s">
        <v>35</v>
      </c>
    </row>
    <row r="40" customFormat="false" ht="15" hidden="false" customHeight="false" outlineLevel="0" collapsed="false">
      <c r="A40" s="28" t="s">
        <v>521</v>
      </c>
      <c r="B40" s="28" t="s">
        <v>344</v>
      </c>
      <c r="C40" s="28" t="s">
        <v>102</v>
      </c>
      <c r="D40" s="28" t="s">
        <v>522</v>
      </c>
      <c r="E40" s="28" t="s">
        <v>523</v>
      </c>
      <c r="F40" s="28" t="s">
        <v>373</v>
      </c>
      <c r="G40" s="29" t="n">
        <v>75</v>
      </c>
      <c r="H40" s="28" t="s">
        <v>510</v>
      </c>
      <c r="I40" s="28" t="s">
        <v>366</v>
      </c>
      <c r="J40" s="28"/>
      <c r="K40" s="28" t="s">
        <v>116</v>
      </c>
      <c r="L40" s="28" t="s">
        <v>368</v>
      </c>
      <c r="M40" s="28" t="s">
        <v>511</v>
      </c>
      <c r="N40" s="28" t="s">
        <v>512</v>
      </c>
      <c r="O40" s="28" t="str">
        <f aca="true">IFERROR(IF(N40="","",DATEVALUE(TEXT(N40,"DD.MM.YYYY"))-TODAY()),"Tarih Yok")</f>
        <v>Tarih Yok</v>
      </c>
      <c r="P40" s="28" t="str">
        <f aca="true">IFERROR(IF(N40="","Tarih Yok",IF(DATEVALUE(TEXT(N40,"DD.MM.YYYY"))&lt;TODAY(),"GECİKMİŞ",IF(DATEVALUE(TEXT(N40,"DD.MM.YYYY"))-TODAY()&lt;=30,"30 GÜN İÇİNDE",IF(DATEVALUE(TEXT(N40,"DD.MM.YYYY"))-TODAY()&lt;=90,"90 GÜN İÇİNDE","Takvimdeyiz")))),"Tarih Kontrol")</f>
        <v>Tarih Kontrol</v>
      </c>
      <c r="Q40" s="28" t="s">
        <v>98</v>
      </c>
      <c r="R40" s="28"/>
      <c r="S40" s="28" t="s">
        <v>406</v>
      </c>
      <c r="T40" s="28" t="s">
        <v>35</v>
      </c>
    </row>
    <row r="41" customFormat="false" ht="15" hidden="false" customHeight="false" outlineLevel="0" collapsed="false">
      <c r="A41" s="28" t="s">
        <v>524</v>
      </c>
      <c r="B41" s="28" t="s">
        <v>344</v>
      </c>
      <c r="C41" s="28" t="s">
        <v>102</v>
      </c>
      <c r="D41" s="28" t="s">
        <v>525</v>
      </c>
      <c r="E41" s="28" t="s">
        <v>526</v>
      </c>
      <c r="F41" s="28" t="s">
        <v>408</v>
      </c>
      <c r="G41" s="29" t="n">
        <v>61.5</v>
      </c>
      <c r="H41" s="28" t="s">
        <v>527</v>
      </c>
      <c r="I41" s="28" t="s">
        <v>349</v>
      </c>
      <c r="J41" s="28"/>
      <c r="K41" s="28" t="s">
        <v>350</v>
      </c>
      <c r="L41" s="28" t="s">
        <v>107</v>
      </c>
      <c r="M41" s="28" t="s">
        <v>428</v>
      </c>
      <c r="N41" s="28" t="s">
        <v>528</v>
      </c>
      <c r="O41" s="28" t="str">
        <f aca="true">IFERROR(IF(N41="","",DATEVALUE(TEXT(N41,"DD.MM.YYYY"))-TODAY()),"Tarih Yok")</f>
        <v>Tarih Yok</v>
      </c>
      <c r="P41" s="28" t="str">
        <f aca="true">IFERROR(IF(N41="","Tarih Yok",IF(DATEVALUE(TEXT(N41,"DD.MM.YYYY"))&lt;TODAY(),"GECİKMİŞ",IF(DATEVALUE(TEXT(N41,"DD.MM.YYYY"))-TODAY()&lt;=30,"30 GÜN İÇİNDE",IF(DATEVALUE(TEXT(N41,"DD.MM.YYYY"))-TODAY()&lt;=90,"90 GÜN İÇİNDE","Takvimdeyiz")))),"Tarih Kontrol")</f>
        <v>Tarih Kontrol</v>
      </c>
      <c r="Q41" s="28" t="s">
        <v>98</v>
      </c>
      <c r="R41" s="28"/>
      <c r="S41" s="28" t="s">
        <v>406</v>
      </c>
      <c r="T41" s="28" t="s">
        <v>35</v>
      </c>
    </row>
    <row r="42" customFormat="false" ht="15" hidden="false" customHeight="false" outlineLevel="0" collapsed="false">
      <c r="A42" s="28" t="s">
        <v>529</v>
      </c>
      <c r="B42" s="28" t="s">
        <v>344</v>
      </c>
      <c r="C42" s="28" t="s">
        <v>102</v>
      </c>
      <c r="D42" s="28" t="s">
        <v>530</v>
      </c>
      <c r="E42" s="28" t="s">
        <v>531</v>
      </c>
      <c r="F42" s="28" t="s">
        <v>413</v>
      </c>
      <c r="G42" s="29" t="n">
        <v>61.5</v>
      </c>
      <c r="H42" s="28" t="s">
        <v>532</v>
      </c>
      <c r="I42" s="28" t="s">
        <v>349</v>
      </c>
      <c r="J42" s="28"/>
      <c r="K42" s="28" t="s">
        <v>350</v>
      </c>
      <c r="L42" s="28" t="s">
        <v>107</v>
      </c>
      <c r="M42" s="28" t="s">
        <v>428</v>
      </c>
      <c r="N42" s="28" t="s">
        <v>528</v>
      </c>
      <c r="O42" s="28" t="str">
        <f aca="true">IFERROR(IF(N42="","",DATEVALUE(TEXT(N42,"DD.MM.YYYY"))-TODAY()),"Tarih Yok")</f>
        <v>Tarih Yok</v>
      </c>
      <c r="P42" s="28" t="str">
        <f aca="true">IFERROR(IF(N42="","Tarih Yok",IF(DATEVALUE(TEXT(N42,"DD.MM.YYYY"))&lt;TODAY(),"GECİKMİŞ",IF(DATEVALUE(TEXT(N42,"DD.MM.YYYY"))-TODAY()&lt;=30,"30 GÜN İÇİNDE",IF(DATEVALUE(TEXT(N42,"DD.MM.YYYY"))-TODAY()&lt;=90,"90 GÜN İÇİNDE","Takvimdeyiz")))),"Tarih Kontrol")</f>
        <v>Tarih Kontrol</v>
      </c>
      <c r="Q42" s="28" t="s">
        <v>98</v>
      </c>
      <c r="R42" s="28"/>
      <c r="S42" s="28" t="s">
        <v>406</v>
      </c>
      <c r="T42" s="28" t="s">
        <v>35</v>
      </c>
    </row>
    <row r="43" customFormat="false" ht="15" hidden="false" customHeight="false" outlineLevel="0" collapsed="false">
      <c r="A43" s="28" t="s">
        <v>533</v>
      </c>
      <c r="B43" s="28" t="s">
        <v>344</v>
      </c>
      <c r="C43" s="28" t="s">
        <v>102</v>
      </c>
      <c r="D43" s="28" t="s">
        <v>534</v>
      </c>
      <c r="E43" s="28" t="s">
        <v>535</v>
      </c>
      <c r="F43" s="28" t="s">
        <v>421</v>
      </c>
      <c r="G43" s="29" t="n">
        <v>61.5</v>
      </c>
      <c r="H43" s="28" t="s">
        <v>536</v>
      </c>
      <c r="I43" s="28" t="s">
        <v>349</v>
      </c>
      <c r="J43" s="28"/>
      <c r="K43" s="28" t="s">
        <v>350</v>
      </c>
      <c r="L43" s="28" t="s">
        <v>107</v>
      </c>
      <c r="M43" s="28" t="s">
        <v>428</v>
      </c>
      <c r="N43" s="28" t="s">
        <v>528</v>
      </c>
      <c r="O43" s="28" t="str">
        <f aca="true">IFERROR(IF(N43="","",DATEVALUE(TEXT(N43,"DD.MM.YYYY"))-TODAY()),"Tarih Yok")</f>
        <v>Tarih Yok</v>
      </c>
      <c r="P43" s="28" t="str">
        <f aca="true">IFERROR(IF(N43="","Tarih Yok",IF(DATEVALUE(TEXT(N43,"DD.MM.YYYY"))&lt;TODAY(),"GECİKMİŞ",IF(DATEVALUE(TEXT(N43,"DD.MM.YYYY"))-TODAY()&lt;=30,"30 GÜN İÇİNDE",IF(DATEVALUE(TEXT(N43,"DD.MM.YYYY"))-TODAY()&lt;=90,"90 GÜN İÇİNDE","Takvimdeyiz")))),"Tarih Kontrol")</f>
        <v>Tarih Kontrol</v>
      </c>
      <c r="Q43" s="28" t="s">
        <v>98</v>
      </c>
      <c r="R43" s="28"/>
      <c r="S43" s="28" t="s">
        <v>406</v>
      </c>
      <c r="T43" s="28" t="s">
        <v>35</v>
      </c>
    </row>
    <row r="44" customFormat="false" ht="15" hidden="false" customHeight="false" outlineLevel="0" collapsed="false">
      <c r="A44" s="28" t="s">
        <v>537</v>
      </c>
      <c r="B44" s="28" t="s">
        <v>344</v>
      </c>
      <c r="C44" s="28" t="s">
        <v>102</v>
      </c>
      <c r="D44" s="28" t="s">
        <v>538</v>
      </c>
      <c r="E44" s="28" t="s">
        <v>539</v>
      </c>
      <c r="F44" s="28" t="s">
        <v>425</v>
      </c>
      <c r="G44" s="29" t="n">
        <v>61.5</v>
      </c>
      <c r="H44" s="28" t="s">
        <v>540</v>
      </c>
      <c r="I44" s="28" t="s">
        <v>349</v>
      </c>
      <c r="J44" s="28"/>
      <c r="K44" s="28" t="s">
        <v>350</v>
      </c>
      <c r="L44" s="28" t="s">
        <v>107</v>
      </c>
      <c r="M44" s="28" t="s">
        <v>428</v>
      </c>
      <c r="N44" s="28" t="s">
        <v>528</v>
      </c>
      <c r="O44" s="28" t="str">
        <f aca="true">IFERROR(IF(N44="","",DATEVALUE(TEXT(N44,"DD.MM.YYYY"))-TODAY()),"Tarih Yok")</f>
        <v>Tarih Yok</v>
      </c>
      <c r="P44" s="28" t="str">
        <f aca="true">IFERROR(IF(N44="","Tarih Yok",IF(DATEVALUE(TEXT(N44,"DD.MM.YYYY"))&lt;TODAY(),"GECİKMİŞ",IF(DATEVALUE(TEXT(N44,"DD.MM.YYYY"))-TODAY()&lt;=30,"30 GÜN İÇİNDE",IF(DATEVALUE(TEXT(N44,"DD.MM.YYYY"))-TODAY()&lt;=90,"90 GÜN İÇİNDE","Takvimdeyiz")))),"Tarih Kontrol")</f>
        <v>Tarih Kontrol</v>
      </c>
      <c r="Q44" s="28" t="s">
        <v>98</v>
      </c>
      <c r="R44" s="28"/>
      <c r="S44" s="28" t="s">
        <v>406</v>
      </c>
      <c r="T44" s="28" t="s">
        <v>35</v>
      </c>
    </row>
    <row r="45" customFormat="false" ht="15" hidden="false" customHeight="false" outlineLevel="0" collapsed="false">
      <c r="A45" s="28" t="s">
        <v>541</v>
      </c>
      <c r="B45" s="28" t="s">
        <v>344</v>
      </c>
      <c r="C45" s="28" t="s">
        <v>102</v>
      </c>
      <c r="D45" s="28" t="s">
        <v>542</v>
      </c>
      <c r="E45" s="28" t="s">
        <v>543</v>
      </c>
      <c r="F45" s="28" t="s">
        <v>431</v>
      </c>
      <c r="G45" s="29" t="n">
        <v>61.5</v>
      </c>
      <c r="H45" s="28" t="s">
        <v>544</v>
      </c>
      <c r="I45" s="28" t="s">
        <v>349</v>
      </c>
      <c r="J45" s="28"/>
      <c r="K45" s="28" t="s">
        <v>350</v>
      </c>
      <c r="L45" s="28" t="s">
        <v>107</v>
      </c>
      <c r="M45" s="28" t="s">
        <v>428</v>
      </c>
      <c r="N45" s="28" t="s">
        <v>528</v>
      </c>
      <c r="O45" s="28" t="str">
        <f aca="true">IFERROR(IF(N45="","",DATEVALUE(TEXT(N45,"DD.MM.YYYY"))-TODAY()),"Tarih Yok")</f>
        <v>Tarih Yok</v>
      </c>
      <c r="P45" s="28" t="str">
        <f aca="true">IFERROR(IF(N45="","Tarih Yok",IF(DATEVALUE(TEXT(N45,"DD.MM.YYYY"))&lt;TODAY(),"GECİKMİŞ",IF(DATEVALUE(TEXT(N45,"DD.MM.YYYY"))-TODAY()&lt;=30,"30 GÜN İÇİNDE",IF(DATEVALUE(TEXT(N45,"DD.MM.YYYY"))-TODAY()&lt;=90,"90 GÜN İÇİNDE","Takvimdeyiz")))),"Tarih Kontrol")</f>
        <v>Tarih Kontrol</v>
      </c>
      <c r="Q45" s="28" t="s">
        <v>98</v>
      </c>
      <c r="R45" s="28"/>
      <c r="S45" s="28" t="s">
        <v>406</v>
      </c>
      <c r="T45" s="28" t="s">
        <v>35</v>
      </c>
    </row>
    <row r="46" customFormat="false" ht="15" hidden="false" customHeight="false" outlineLevel="0" collapsed="false">
      <c r="A46" s="28" t="s">
        <v>545</v>
      </c>
      <c r="B46" s="28" t="s">
        <v>344</v>
      </c>
      <c r="C46" s="28" t="s">
        <v>102</v>
      </c>
      <c r="D46" s="28" t="s">
        <v>546</v>
      </c>
      <c r="E46" s="28" t="s">
        <v>547</v>
      </c>
      <c r="F46" s="28" t="s">
        <v>435</v>
      </c>
      <c r="G46" s="29" t="n">
        <v>61.5</v>
      </c>
      <c r="H46" s="28" t="s">
        <v>548</v>
      </c>
      <c r="I46" s="28" t="s">
        <v>349</v>
      </c>
      <c r="J46" s="28"/>
      <c r="K46" s="28" t="s">
        <v>350</v>
      </c>
      <c r="L46" s="28" t="s">
        <v>107</v>
      </c>
      <c r="M46" s="28" t="s">
        <v>428</v>
      </c>
      <c r="N46" s="28" t="s">
        <v>528</v>
      </c>
      <c r="O46" s="28" t="str">
        <f aca="true">IFERROR(IF(N46="","",DATEVALUE(TEXT(N46,"DD.MM.YYYY"))-TODAY()),"Tarih Yok")</f>
        <v>Tarih Yok</v>
      </c>
      <c r="P46" s="28" t="str">
        <f aca="true">IFERROR(IF(N46="","Tarih Yok",IF(DATEVALUE(TEXT(N46,"DD.MM.YYYY"))&lt;TODAY(),"GECİKMİŞ",IF(DATEVALUE(TEXT(N46,"DD.MM.YYYY"))-TODAY()&lt;=30,"30 GÜN İÇİNDE",IF(DATEVALUE(TEXT(N46,"DD.MM.YYYY"))-TODAY()&lt;=90,"90 GÜN İÇİNDE","Takvimdeyiz")))),"Tarih Kontrol")</f>
        <v>Tarih Kontrol</v>
      </c>
      <c r="Q46" s="28" t="s">
        <v>98</v>
      </c>
      <c r="R46" s="28"/>
      <c r="S46" s="28" t="s">
        <v>406</v>
      </c>
      <c r="T46" s="28" t="s">
        <v>35</v>
      </c>
    </row>
    <row r="47" customFormat="false" ht="15" hidden="false" customHeight="false" outlineLevel="0" collapsed="false">
      <c r="A47" s="28" t="s">
        <v>549</v>
      </c>
      <c r="B47" s="28" t="s">
        <v>344</v>
      </c>
      <c r="C47" s="28" t="s">
        <v>102</v>
      </c>
      <c r="D47" s="28" t="s">
        <v>550</v>
      </c>
      <c r="E47" s="28" t="s">
        <v>551</v>
      </c>
      <c r="F47" s="28" t="s">
        <v>439</v>
      </c>
      <c r="G47" s="29" t="n">
        <v>61.5</v>
      </c>
      <c r="H47" s="28" t="s">
        <v>552</v>
      </c>
      <c r="I47" s="28" t="s">
        <v>349</v>
      </c>
      <c r="J47" s="28"/>
      <c r="K47" s="28" t="s">
        <v>350</v>
      </c>
      <c r="L47" s="28" t="s">
        <v>107</v>
      </c>
      <c r="M47" s="28" t="s">
        <v>428</v>
      </c>
      <c r="N47" s="28" t="s">
        <v>528</v>
      </c>
      <c r="O47" s="28" t="str">
        <f aca="true">IFERROR(IF(N47="","",DATEVALUE(TEXT(N47,"DD.MM.YYYY"))-TODAY()),"Tarih Yok")</f>
        <v>Tarih Yok</v>
      </c>
      <c r="P47" s="28" t="str">
        <f aca="true">IFERROR(IF(N47="","Tarih Yok",IF(DATEVALUE(TEXT(N47,"DD.MM.YYYY"))&lt;TODAY(),"GECİKMİŞ",IF(DATEVALUE(TEXT(N47,"DD.MM.YYYY"))-TODAY()&lt;=30,"30 GÜN İÇİNDE",IF(DATEVALUE(TEXT(N47,"DD.MM.YYYY"))-TODAY()&lt;=90,"90 GÜN İÇİNDE","Takvimdeyiz")))),"Tarih Kontrol")</f>
        <v>Tarih Kontrol</v>
      </c>
      <c r="Q47" s="28" t="s">
        <v>98</v>
      </c>
      <c r="R47" s="28"/>
      <c r="S47" s="28" t="s">
        <v>406</v>
      </c>
      <c r="T47" s="28" t="s">
        <v>35</v>
      </c>
    </row>
    <row r="48" customFormat="false" ht="15" hidden="false" customHeight="false" outlineLevel="0" collapsed="false">
      <c r="A48" s="28" t="s">
        <v>553</v>
      </c>
      <c r="B48" s="28" t="s">
        <v>344</v>
      </c>
      <c r="C48" s="28" t="s">
        <v>102</v>
      </c>
      <c r="D48" s="28" t="s">
        <v>554</v>
      </c>
      <c r="E48" s="28" t="s">
        <v>555</v>
      </c>
      <c r="F48" s="28" t="s">
        <v>345</v>
      </c>
      <c r="G48" s="29" t="n">
        <v>75</v>
      </c>
      <c r="H48" s="28" t="s">
        <v>556</v>
      </c>
      <c r="I48" s="28" t="s">
        <v>366</v>
      </c>
      <c r="J48" s="28"/>
      <c r="K48" s="28" t="s">
        <v>116</v>
      </c>
      <c r="L48" s="28" t="s">
        <v>368</v>
      </c>
      <c r="M48" s="28" t="s">
        <v>428</v>
      </c>
      <c r="N48" s="28" t="s">
        <v>557</v>
      </c>
      <c r="O48" s="28" t="str">
        <f aca="true">IFERROR(IF(N48="","",DATEVALUE(TEXT(N48,"DD.MM.YYYY"))-TODAY()),"Tarih Yok")</f>
        <v>Tarih Yok</v>
      </c>
      <c r="P48" s="28" t="str">
        <f aca="true">IFERROR(IF(N48="","Tarih Yok",IF(DATEVALUE(TEXT(N48,"DD.MM.YYYY"))&lt;TODAY(),"GECİKMİŞ",IF(DATEVALUE(TEXT(N48,"DD.MM.YYYY"))-TODAY()&lt;=30,"30 GÜN İÇİNDE",IF(DATEVALUE(TEXT(N48,"DD.MM.YYYY"))-TODAY()&lt;=90,"90 GÜN İÇİNDE","Takvimdeyiz")))),"Tarih Kontrol")</f>
        <v>Tarih Kontrol</v>
      </c>
      <c r="Q48" s="28" t="s">
        <v>98</v>
      </c>
      <c r="R48" s="28"/>
      <c r="S48" s="28" t="s">
        <v>558</v>
      </c>
      <c r="T48" s="28" t="s">
        <v>35</v>
      </c>
    </row>
    <row r="49" customFormat="false" ht="15" hidden="false" customHeight="false" outlineLevel="0" collapsed="false">
      <c r="A49" s="28" t="s">
        <v>559</v>
      </c>
      <c r="B49" s="28" t="s">
        <v>344</v>
      </c>
      <c r="C49" s="28" t="s">
        <v>102</v>
      </c>
      <c r="D49" s="28" t="s">
        <v>560</v>
      </c>
      <c r="E49" s="28" t="s">
        <v>561</v>
      </c>
      <c r="F49" s="28" t="s">
        <v>354</v>
      </c>
      <c r="G49" s="29" t="n">
        <v>75</v>
      </c>
      <c r="H49" s="28" t="s">
        <v>562</v>
      </c>
      <c r="I49" s="28" t="s">
        <v>366</v>
      </c>
      <c r="J49" s="28"/>
      <c r="K49" s="28" t="s">
        <v>116</v>
      </c>
      <c r="L49" s="28" t="s">
        <v>368</v>
      </c>
      <c r="M49" s="28" t="s">
        <v>428</v>
      </c>
      <c r="N49" s="28" t="s">
        <v>557</v>
      </c>
      <c r="O49" s="28" t="str">
        <f aca="true">IFERROR(IF(N49="","",DATEVALUE(TEXT(N49,"DD.MM.YYYY"))-TODAY()),"Tarih Yok")</f>
        <v>Tarih Yok</v>
      </c>
      <c r="P49" s="28" t="str">
        <f aca="true">IFERROR(IF(N49="","Tarih Yok",IF(DATEVALUE(TEXT(N49,"DD.MM.YYYY"))&lt;TODAY(),"GECİKMİŞ",IF(DATEVALUE(TEXT(N49,"DD.MM.YYYY"))-TODAY()&lt;=30,"30 GÜN İÇİNDE",IF(DATEVALUE(TEXT(N49,"DD.MM.YYYY"))-TODAY()&lt;=90,"90 GÜN İÇİNDE","Takvimdeyiz")))),"Tarih Kontrol")</f>
        <v>Tarih Kontrol</v>
      </c>
      <c r="Q49" s="28" t="s">
        <v>98</v>
      </c>
      <c r="R49" s="28"/>
      <c r="S49" s="28" t="s">
        <v>406</v>
      </c>
      <c r="T49" s="28" t="s">
        <v>35</v>
      </c>
    </row>
    <row r="50" customFormat="false" ht="15" hidden="false" customHeight="false" outlineLevel="0" collapsed="false">
      <c r="A50" s="28" t="s">
        <v>563</v>
      </c>
      <c r="B50" s="28" t="s">
        <v>344</v>
      </c>
      <c r="C50" s="28" t="s">
        <v>102</v>
      </c>
      <c r="D50" s="28" t="s">
        <v>564</v>
      </c>
      <c r="E50" s="28" t="s">
        <v>565</v>
      </c>
      <c r="F50" s="28" t="s">
        <v>362</v>
      </c>
      <c r="G50" s="29" t="n">
        <v>75</v>
      </c>
      <c r="H50" s="28" t="s">
        <v>562</v>
      </c>
      <c r="I50" s="28" t="s">
        <v>366</v>
      </c>
      <c r="J50" s="28"/>
      <c r="K50" s="28" t="s">
        <v>116</v>
      </c>
      <c r="L50" s="28" t="s">
        <v>368</v>
      </c>
      <c r="M50" s="28" t="s">
        <v>428</v>
      </c>
      <c r="N50" s="28" t="s">
        <v>557</v>
      </c>
      <c r="O50" s="28" t="str">
        <f aca="true">IFERROR(IF(N50="","",DATEVALUE(TEXT(N50,"DD.MM.YYYY"))-TODAY()),"Tarih Yok")</f>
        <v>Tarih Yok</v>
      </c>
      <c r="P50" s="28" t="str">
        <f aca="true">IFERROR(IF(N50="","Tarih Yok",IF(DATEVALUE(TEXT(N50,"DD.MM.YYYY"))&lt;TODAY(),"GECİKMİŞ",IF(DATEVALUE(TEXT(N50,"DD.MM.YYYY"))-TODAY()&lt;=30,"30 GÜN İÇİNDE",IF(DATEVALUE(TEXT(N50,"DD.MM.YYYY"))-TODAY()&lt;=90,"90 GÜN İÇİNDE","Takvimdeyiz")))),"Tarih Kontrol")</f>
        <v>Tarih Kontrol</v>
      </c>
      <c r="Q50" s="28" t="s">
        <v>98</v>
      </c>
      <c r="R50" s="28"/>
      <c r="S50" s="28" t="s">
        <v>406</v>
      </c>
      <c r="T50" s="28" t="s">
        <v>35</v>
      </c>
    </row>
    <row r="51" customFormat="false" ht="15" hidden="false" customHeight="false" outlineLevel="0" collapsed="false">
      <c r="A51" s="28" t="s">
        <v>566</v>
      </c>
      <c r="B51" s="28" t="s">
        <v>344</v>
      </c>
      <c r="C51" s="28" t="s">
        <v>102</v>
      </c>
      <c r="D51" s="28" t="s">
        <v>567</v>
      </c>
      <c r="E51" s="28" t="s">
        <v>568</v>
      </c>
      <c r="F51" s="28" t="s">
        <v>373</v>
      </c>
      <c r="G51" s="29" t="n">
        <v>75</v>
      </c>
      <c r="H51" s="28" t="s">
        <v>569</v>
      </c>
      <c r="I51" s="28" t="s">
        <v>366</v>
      </c>
      <c r="J51" s="28"/>
      <c r="K51" s="28" t="s">
        <v>116</v>
      </c>
      <c r="L51" s="28" t="s">
        <v>368</v>
      </c>
      <c r="M51" s="28" t="s">
        <v>428</v>
      </c>
      <c r="N51" s="28" t="s">
        <v>557</v>
      </c>
      <c r="O51" s="28" t="str">
        <f aca="true">IFERROR(IF(N51="","",DATEVALUE(TEXT(N51,"DD.MM.YYYY"))-TODAY()),"Tarih Yok")</f>
        <v>Tarih Yok</v>
      </c>
      <c r="P51" s="28" t="str">
        <f aca="true">IFERROR(IF(N51="","Tarih Yok",IF(DATEVALUE(TEXT(N51,"DD.MM.YYYY"))&lt;TODAY(),"GECİKMİŞ",IF(DATEVALUE(TEXT(N51,"DD.MM.YYYY"))-TODAY()&lt;=30,"30 GÜN İÇİNDE",IF(DATEVALUE(TEXT(N51,"DD.MM.YYYY"))-TODAY()&lt;=90,"90 GÜN İÇİNDE","Takvimdeyiz")))),"Tarih Kontrol")</f>
        <v>Tarih Kontrol</v>
      </c>
      <c r="Q51" s="28" t="s">
        <v>98</v>
      </c>
      <c r="R51" s="28"/>
      <c r="S51" s="28" t="s">
        <v>406</v>
      </c>
      <c r="T51" s="28" t="s">
        <v>35</v>
      </c>
    </row>
    <row r="52" customFormat="false" ht="15" hidden="false" customHeight="false" outlineLevel="0" collapsed="false">
      <c r="A52" s="28" t="s">
        <v>570</v>
      </c>
      <c r="B52" s="28" t="s">
        <v>344</v>
      </c>
      <c r="C52" s="28" t="s">
        <v>102</v>
      </c>
      <c r="D52" s="28" t="s">
        <v>571</v>
      </c>
      <c r="E52" s="28" t="s">
        <v>572</v>
      </c>
      <c r="F52" s="28"/>
      <c r="G52" s="29" t="n">
        <v>40</v>
      </c>
      <c r="H52" s="28" t="s">
        <v>573</v>
      </c>
      <c r="I52" s="28" t="s">
        <v>349</v>
      </c>
      <c r="J52" s="28"/>
      <c r="K52" s="28" t="s">
        <v>574</v>
      </c>
      <c r="L52" s="28" t="s">
        <v>107</v>
      </c>
      <c r="M52" s="28" t="s">
        <v>575</v>
      </c>
      <c r="N52" s="28" t="s">
        <v>498</v>
      </c>
      <c r="O52" s="28" t="str">
        <f aca="true">IFERROR(IF(N52="","",DATEVALUE(TEXT(N52,"DD.MM.YYYY"))-TODAY()),"Tarih Yok")</f>
        <v>Tarih Yok</v>
      </c>
      <c r="P52" s="28" t="str">
        <f aca="true">IFERROR(IF(N52="","Tarih Yok",IF(DATEVALUE(TEXT(N52,"DD.MM.YYYY"))&lt;TODAY(),"GECİKMİŞ",IF(DATEVALUE(TEXT(N52,"DD.MM.YYYY"))-TODAY()&lt;=30,"30 GÜN İÇİNDE",IF(DATEVALUE(TEXT(N52,"DD.MM.YYYY"))-TODAY()&lt;=90,"90 GÜN İÇİNDE","Takvimdeyiz")))),"Tarih Kontrol")</f>
        <v>Tarih Kontrol</v>
      </c>
      <c r="Q52" s="28" t="s">
        <v>98</v>
      </c>
      <c r="R52" s="28"/>
      <c r="S52" s="28" t="s">
        <v>11</v>
      </c>
      <c r="T52" s="28" t="s">
        <v>35</v>
      </c>
    </row>
    <row r="53" customFormat="false" ht="15" hidden="false" customHeight="false" outlineLevel="0" collapsed="false">
      <c r="A53" s="28" t="s">
        <v>576</v>
      </c>
      <c r="B53" s="28" t="s">
        <v>344</v>
      </c>
      <c r="C53" s="28" t="s">
        <v>102</v>
      </c>
      <c r="D53" s="28" t="s">
        <v>577</v>
      </c>
      <c r="E53" s="28" t="s">
        <v>578</v>
      </c>
      <c r="F53" s="28" t="s">
        <v>579</v>
      </c>
      <c r="G53" s="29" t="n">
        <v>4</v>
      </c>
      <c r="H53" s="28" t="s">
        <v>580</v>
      </c>
      <c r="I53" s="28" t="s">
        <v>349</v>
      </c>
      <c r="J53" s="28"/>
      <c r="K53" s="28" t="s">
        <v>581</v>
      </c>
      <c r="L53" s="28" t="s">
        <v>107</v>
      </c>
      <c r="M53" s="28" t="s">
        <v>575</v>
      </c>
      <c r="N53" s="28" t="s">
        <v>498</v>
      </c>
      <c r="O53" s="28" t="str">
        <f aca="true">IFERROR(IF(N53="","",DATEVALUE(TEXT(N53,"DD.MM.YYYY"))-TODAY()),"Tarih Yok")</f>
        <v>Tarih Yok</v>
      </c>
      <c r="P53" s="28" t="str">
        <f aca="true">IFERROR(IF(N53="","Tarih Yok",IF(DATEVALUE(TEXT(N53,"DD.MM.YYYY"))&lt;TODAY(),"GECİKMİŞ",IF(DATEVALUE(TEXT(N53,"DD.MM.YYYY"))-TODAY()&lt;=30,"30 GÜN İÇİNDE",IF(DATEVALUE(TEXT(N53,"DD.MM.YYYY"))-TODAY()&lt;=90,"90 GÜN İÇİNDE","Takvimdeyiz")))),"Tarih Kontrol")</f>
        <v>Tarih Kontrol</v>
      </c>
      <c r="Q53" s="28" t="s">
        <v>98</v>
      </c>
      <c r="R53" s="28"/>
      <c r="S53" s="28" t="s">
        <v>11</v>
      </c>
      <c r="T53" s="28" t="s">
        <v>35</v>
      </c>
    </row>
    <row r="54" customFormat="false" ht="15" hidden="false" customHeight="false" outlineLevel="0" collapsed="false">
      <c r="A54" s="28" t="s">
        <v>582</v>
      </c>
      <c r="B54" s="28" t="s">
        <v>344</v>
      </c>
      <c r="C54" s="28" t="s">
        <v>102</v>
      </c>
      <c r="D54" s="28" t="s">
        <v>583</v>
      </c>
      <c r="E54" s="28" t="s">
        <v>584</v>
      </c>
      <c r="F54" s="28"/>
      <c r="G54" s="29" t="n">
        <v>4</v>
      </c>
      <c r="H54" s="28" t="s">
        <v>585</v>
      </c>
      <c r="I54" s="28" t="s">
        <v>349</v>
      </c>
      <c r="J54" s="28"/>
      <c r="K54" s="28" t="s">
        <v>586</v>
      </c>
      <c r="L54" s="28" t="s">
        <v>107</v>
      </c>
      <c r="M54" s="28" t="s">
        <v>575</v>
      </c>
      <c r="N54" s="28" t="s">
        <v>498</v>
      </c>
      <c r="O54" s="28" t="str">
        <f aca="true">IFERROR(IF(N54="","",DATEVALUE(TEXT(N54,"DD.MM.YYYY"))-TODAY()),"Tarih Yok")</f>
        <v>Tarih Yok</v>
      </c>
      <c r="P54" s="28" t="str">
        <f aca="true">IFERROR(IF(N54="","Tarih Yok",IF(DATEVALUE(TEXT(N54,"DD.MM.YYYY"))&lt;TODAY(),"GECİKMİŞ",IF(DATEVALUE(TEXT(N54,"DD.MM.YYYY"))-TODAY()&lt;=30,"30 GÜN İÇİNDE",IF(DATEVALUE(TEXT(N54,"DD.MM.YYYY"))-TODAY()&lt;=90,"90 GÜN İÇİNDE","Takvimdeyiz")))),"Tarih Kontrol")</f>
        <v>Tarih Kontrol</v>
      </c>
      <c r="Q54" s="28" t="s">
        <v>98</v>
      </c>
      <c r="R54" s="28"/>
      <c r="S54" s="28" t="s">
        <v>11</v>
      </c>
      <c r="T54" s="28" t="s">
        <v>35</v>
      </c>
    </row>
    <row r="55" customFormat="false" ht="15" hidden="false" customHeight="false" outlineLevel="0" collapsed="false">
      <c r="A55" s="28" t="s">
        <v>587</v>
      </c>
      <c r="B55" s="28" t="s">
        <v>344</v>
      </c>
      <c r="C55" s="28" t="s">
        <v>102</v>
      </c>
      <c r="D55" s="28" t="s">
        <v>588</v>
      </c>
      <c r="E55" s="28" t="s">
        <v>589</v>
      </c>
      <c r="F55" s="28"/>
      <c r="G55" s="29" t="n">
        <v>15</v>
      </c>
      <c r="H55" s="28" t="s">
        <v>590</v>
      </c>
      <c r="I55" s="28" t="s">
        <v>349</v>
      </c>
      <c r="J55" s="28"/>
      <c r="K55" s="28" t="s">
        <v>591</v>
      </c>
      <c r="L55" s="28" t="s">
        <v>107</v>
      </c>
      <c r="M55" s="28" t="s">
        <v>487</v>
      </c>
      <c r="N55" s="28" t="s">
        <v>592</v>
      </c>
      <c r="O55" s="28" t="str">
        <f aca="true">IFERROR(IF(N55="","",DATEVALUE(TEXT(N55,"DD.MM.YYYY"))-TODAY()),"Tarih Yok")</f>
        <v>Tarih Yok</v>
      </c>
      <c r="P55" s="28" t="str">
        <f aca="true">IFERROR(IF(N55="","Tarih Yok",IF(DATEVALUE(TEXT(N55,"DD.MM.YYYY"))&lt;TODAY(),"GECİKMİŞ",IF(DATEVALUE(TEXT(N55,"DD.MM.YYYY"))-TODAY()&lt;=30,"30 GÜN İÇİNDE",IF(DATEVALUE(TEXT(N55,"DD.MM.YYYY"))-TODAY()&lt;=90,"90 GÜN İÇİNDE","Takvimdeyiz")))),"Tarih Kontrol")</f>
        <v>Tarih Kontrol</v>
      </c>
      <c r="Q55" s="28" t="s">
        <v>98</v>
      </c>
      <c r="R55" s="28"/>
      <c r="S55" s="28" t="s">
        <v>593</v>
      </c>
      <c r="T55" s="28" t="s">
        <v>35</v>
      </c>
    </row>
    <row r="56" customFormat="false" ht="15" hidden="false" customHeight="false" outlineLevel="0" collapsed="false">
      <c r="A56" s="28" t="s">
        <v>594</v>
      </c>
      <c r="B56" s="28" t="s">
        <v>344</v>
      </c>
      <c r="C56" s="28" t="s">
        <v>102</v>
      </c>
      <c r="D56" s="28" t="s">
        <v>595</v>
      </c>
      <c r="E56" s="28" t="s">
        <v>596</v>
      </c>
      <c r="F56" s="28" t="s">
        <v>597</v>
      </c>
      <c r="G56" s="29" t="n">
        <v>4</v>
      </c>
      <c r="H56" s="28" t="s">
        <v>580</v>
      </c>
      <c r="I56" s="28" t="s">
        <v>349</v>
      </c>
      <c r="J56" s="28"/>
      <c r="K56" s="28" t="s">
        <v>581</v>
      </c>
      <c r="L56" s="28" t="s">
        <v>107</v>
      </c>
      <c r="M56" s="28"/>
      <c r="N56" s="28"/>
      <c r="O56" s="28" t="str">
        <f aca="true">IFERROR(IF(N56="","",DATEVALUE(TEXT(N56,"DD.MM.YYYY"))-TODAY()),"Tarih Yok")</f>
        <v/>
      </c>
      <c r="P56" s="28" t="str">
        <f aca="true">IFERROR(IF(N56="","Tarih Yok",IF(DATEVALUE(TEXT(N56,"DD.MM.YYYY"))&lt;TODAY(),"GECİKMİŞ",IF(DATEVALUE(TEXT(N56,"DD.MM.YYYY"))-TODAY()&lt;=30,"30 GÜN İÇİNDE",IF(DATEVALUE(TEXT(N56,"DD.MM.YYYY"))-TODAY()&lt;=90,"90 GÜN İÇİNDE","Takvimdeyiz")))),"Tarih Kontrol")</f>
        <v>Tarih Yok</v>
      </c>
      <c r="Q56" s="28"/>
      <c r="R56" s="28"/>
      <c r="S56" s="28" t="s">
        <v>598</v>
      </c>
      <c r="T56" s="28" t="s">
        <v>35</v>
      </c>
    </row>
    <row r="57" customFormat="false" ht="15" hidden="false" customHeight="false" outlineLevel="0" collapsed="false">
      <c r="A57" s="28" t="s">
        <v>599</v>
      </c>
      <c r="B57" s="28" t="s">
        <v>344</v>
      </c>
      <c r="C57" s="28" t="s">
        <v>102</v>
      </c>
      <c r="D57" s="28" t="s">
        <v>600</v>
      </c>
      <c r="E57" s="28" t="s">
        <v>601</v>
      </c>
      <c r="F57" s="28" t="s">
        <v>602</v>
      </c>
      <c r="G57" s="29" t="n">
        <v>4</v>
      </c>
      <c r="H57" s="28" t="s">
        <v>580</v>
      </c>
      <c r="I57" s="28" t="s">
        <v>349</v>
      </c>
      <c r="J57" s="28"/>
      <c r="K57" s="28" t="s">
        <v>581</v>
      </c>
      <c r="L57" s="28" t="s">
        <v>107</v>
      </c>
      <c r="M57" s="28"/>
      <c r="N57" s="28"/>
      <c r="O57" s="28" t="str">
        <f aca="true">IFERROR(IF(N57="","",DATEVALUE(TEXT(N57,"DD.MM.YYYY"))-TODAY()),"Tarih Yok")</f>
        <v/>
      </c>
      <c r="P57" s="28" t="str">
        <f aca="true">IFERROR(IF(N57="","Tarih Yok",IF(DATEVALUE(TEXT(N57,"DD.MM.YYYY"))&lt;TODAY(),"GECİKMİŞ",IF(DATEVALUE(TEXT(N57,"DD.MM.YYYY"))-TODAY()&lt;=30,"30 GÜN İÇİNDE",IF(DATEVALUE(TEXT(N57,"DD.MM.YYYY"))-TODAY()&lt;=90,"90 GÜN İÇİNDE","Takvimdeyiz")))),"Tarih Kontrol")</f>
        <v>Tarih Yok</v>
      </c>
      <c r="Q57" s="28"/>
      <c r="R57" s="28"/>
      <c r="S57" s="28" t="s">
        <v>598</v>
      </c>
      <c r="T57" s="28" t="s">
        <v>35</v>
      </c>
    </row>
    <row r="58" customFormat="false" ht="15" hidden="false" customHeight="false" outlineLevel="0" collapsed="false">
      <c r="A58" s="28" t="s">
        <v>603</v>
      </c>
      <c r="B58" s="28" t="s">
        <v>344</v>
      </c>
      <c r="C58" s="28" t="s">
        <v>102</v>
      </c>
      <c r="D58" s="28" t="s">
        <v>604</v>
      </c>
      <c r="E58" s="28" t="s">
        <v>605</v>
      </c>
      <c r="F58" s="28" t="s">
        <v>606</v>
      </c>
      <c r="G58" s="29" t="n">
        <v>4</v>
      </c>
      <c r="H58" s="28" t="s">
        <v>580</v>
      </c>
      <c r="I58" s="28" t="s">
        <v>349</v>
      </c>
      <c r="J58" s="28"/>
      <c r="K58" s="28" t="s">
        <v>581</v>
      </c>
      <c r="L58" s="28" t="s">
        <v>107</v>
      </c>
      <c r="M58" s="28"/>
      <c r="N58" s="28"/>
      <c r="O58" s="28" t="str">
        <f aca="true">IFERROR(IF(N58="","",DATEVALUE(TEXT(N58,"DD.MM.YYYY"))-TODAY()),"Tarih Yok")</f>
        <v/>
      </c>
      <c r="P58" s="28" t="str">
        <f aca="true">IFERROR(IF(N58="","Tarih Yok",IF(DATEVALUE(TEXT(N58,"DD.MM.YYYY"))&lt;TODAY(),"GECİKMİŞ",IF(DATEVALUE(TEXT(N58,"DD.MM.YYYY"))-TODAY()&lt;=30,"30 GÜN İÇİNDE",IF(DATEVALUE(TEXT(N58,"DD.MM.YYYY"))-TODAY()&lt;=90,"90 GÜN İÇİNDE","Takvimdeyiz")))),"Tarih Kontrol")</f>
        <v>Tarih Yok</v>
      </c>
      <c r="Q58" s="28"/>
      <c r="R58" s="28"/>
      <c r="S58" s="28" t="s">
        <v>598</v>
      </c>
      <c r="T58" s="28" t="s">
        <v>35</v>
      </c>
    </row>
    <row r="59" customFormat="false" ht="15" hidden="false" customHeight="false" outlineLevel="0" collapsed="false">
      <c r="A59" s="28" t="s">
        <v>607</v>
      </c>
      <c r="B59" s="28" t="s">
        <v>344</v>
      </c>
      <c r="C59" s="28" t="s">
        <v>102</v>
      </c>
      <c r="D59" s="28" t="s">
        <v>608</v>
      </c>
      <c r="E59" s="28" t="s">
        <v>609</v>
      </c>
      <c r="F59" s="28" t="s">
        <v>610</v>
      </c>
      <c r="G59" s="29" t="n">
        <v>4</v>
      </c>
      <c r="H59" s="28" t="s">
        <v>580</v>
      </c>
      <c r="I59" s="28" t="s">
        <v>349</v>
      </c>
      <c r="J59" s="28"/>
      <c r="K59" s="28" t="s">
        <v>581</v>
      </c>
      <c r="L59" s="28" t="s">
        <v>107</v>
      </c>
      <c r="M59" s="28"/>
      <c r="N59" s="28"/>
      <c r="O59" s="28" t="str">
        <f aca="true">IFERROR(IF(N59="","",DATEVALUE(TEXT(N59,"DD.MM.YYYY"))-TODAY()),"Tarih Yok")</f>
        <v/>
      </c>
      <c r="P59" s="28" t="str">
        <f aca="true">IFERROR(IF(N59="","Tarih Yok",IF(DATEVALUE(TEXT(N59,"DD.MM.YYYY"))&lt;TODAY(),"GECİKMİŞ",IF(DATEVALUE(TEXT(N59,"DD.MM.YYYY"))-TODAY()&lt;=30,"30 GÜN İÇİNDE",IF(DATEVALUE(TEXT(N59,"DD.MM.YYYY"))-TODAY()&lt;=90,"90 GÜN İÇİNDE","Takvimdeyiz")))),"Tarih Kontrol")</f>
        <v>Tarih Yok</v>
      </c>
      <c r="Q59" s="28"/>
      <c r="R59" s="28"/>
      <c r="S59" s="28" t="s">
        <v>598</v>
      </c>
      <c r="T59" s="28" t="s">
        <v>35</v>
      </c>
    </row>
    <row r="60" customFormat="false" ht="15" hidden="false" customHeight="false" outlineLevel="0" collapsed="false">
      <c r="A60" s="28" t="s">
        <v>611</v>
      </c>
      <c r="B60" s="28" t="s">
        <v>344</v>
      </c>
      <c r="C60" s="28" t="s">
        <v>102</v>
      </c>
      <c r="D60" s="28" t="s">
        <v>612</v>
      </c>
      <c r="E60" s="28" t="s">
        <v>613</v>
      </c>
      <c r="F60" s="28" t="s">
        <v>614</v>
      </c>
      <c r="G60" s="29" t="n">
        <v>4</v>
      </c>
      <c r="H60" s="28" t="s">
        <v>580</v>
      </c>
      <c r="I60" s="28" t="s">
        <v>349</v>
      </c>
      <c r="J60" s="28"/>
      <c r="K60" s="28" t="s">
        <v>581</v>
      </c>
      <c r="L60" s="28" t="s">
        <v>107</v>
      </c>
      <c r="M60" s="28"/>
      <c r="N60" s="28"/>
      <c r="O60" s="28" t="str">
        <f aca="true">IFERROR(IF(N60="","",DATEVALUE(TEXT(N60,"DD.MM.YYYY"))-TODAY()),"Tarih Yok")</f>
        <v/>
      </c>
      <c r="P60" s="28" t="str">
        <f aca="true">IFERROR(IF(N60="","Tarih Yok",IF(DATEVALUE(TEXT(N60,"DD.MM.YYYY"))&lt;TODAY(),"GECİKMİŞ",IF(DATEVALUE(TEXT(N60,"DD.MM.YYYY"))-TODAY()&lt;=30,"30 GÜN İÇİNDE",IF(DATEVALUE(TEXT(N60,"DD.MM.YYYY"))-TODAY()&lt;=90,"90 GÜN İÇİNDE","Takvimdeyiz")))),"Tarih Kontrol")</f>
        <v>Tarih Yok</v>
      </c>
      <c r="Q60" s="28"/>
      <c r="R60" s="28"/>
      <c r="S60" s="28" t="s">
        <v>598</v>
      </c>
      <c r="T60" s="28" t="s">
        <v>35</v>
      </c>
    </row>
    <row r="61" customFormat="false" ht="15" hidden="false" customHeight="false" outlineLevel="0" collapsed="false">
      <c r="A61" s="28" t="s">
        <v>615</v>
      </c>
      <c r="B61" s="28" t="s">
        <v>114</v>
      </c>
      <c r="C61" s="28" t="s">
        <v>114</v>
      </c>
      <c r="D61" s="28" t="s">
        <v>345</v>
      </c>
      <c r="E61" s="28" t="s">
        <v>616</v>
      </c>
      <c r="F61" s="28" t="s">
        <v>617</v>
      </c>
      <c r="G61" s="29" t="n">
        <v>64</v>
      </c>
      <c r="H61" s="28" t="s">
        <v>348</v>
      </c>
      <c r="I61" s="28" t="s">
        <v>349</v>
      </c>
      <c r="J61" s="28"/>
      <c r="K61" s="28" t="s">
        <v>350</v>
      </c>
      <c r="L61" s="28" t="s">
        <v>107</v>
      </c>
      <c r="M61" s="28" t="s">
        <v>351</v>
      </c>
      <c r="N61" s="28" t="s">
        <v>352</v>
      </c>
      <c r="O61" s="28" t="str">
        <f aca="true">IFERROR(IF(N61="","",DATEVALUE(TEXT(N61,"DD.MM.YYYY"))-TODAY()),"Tarih Yok")</f>
        <v>Tarih Yok</v>
      </c>
      <c r="P61" s="28" t="str">
        <f aca="true">IFERROR(IF(N61="","Tarih Yok",IF(DATEVALUE(TEXT(N61,"DD.MM.YYYY"))&lt;TODAY(),"GECİKMİŞ",IF(DATEVALUE(TEXT(N61,"DD.MM.YYYY"))-TODAY()&lt;=30,"30 GÜN İÇİNDE",IF(DATEVALUE(TEXT(N61,"DD.MM.YYYY"))-TODAY()&lt;=90,"90 GÜN İÇİNDE","Takvimdeyiz")))),"Tarih Kontrol")</f>
        <v>Tarih Kontrol</v>
      </c>
      <c r="Q61" s="28" t="s">
        <v>98</v>
      </c>
      <c r="R61" s="28"/>
      <c r="S61" s="28" t="s">
        <v>11</v>
      </c>
      <c r="T61" s="28" t="s">
        <v>35</v>
      </c>
    </row>
    <row r="62" customFormat="false" ht="15" hidden="false" customHeight="false" outlineLevel="0" collapsed="false">
      <c r="A62" s="28" t="s">
        <v>618</v>
      </c>
      <c r="B62" s="28" t="s">
        <v>114</v>
      </c>
      <c r="C62" s="28" t="s">
        <v>114</v>
      </c>
      <c r="D62" s="28" t="s">
        <v>354</v>
      </c>
      <c r="E62" s="28" t="s">
        <v>355</v>
      </c>
      <c r="F62" s="28" t="s">
        <v>619</v>
      </c>
      <c r="G62" s="29" t="n">
        <v>110</v>
      </c>
      <c r="H62" s="28" t="s">
        <v>357</v>
      </c>
      <c r="I62" s="28" t="s">
        <v>349</v>
      </c>
      <c r="J62" s="28"/>
      <c r="K62" s="28" t="s">
        <v>350</v>
      </c>
      <c r="L62" s="28" t="s">
        <v>107</v>
      </c>
      <c r="M62" s="28" t="s">
        <v>358</v>
      </c>
      <c r="N62" s="28" t="s">
        <v>359</v>
      </c>
      <c r="O62" s="28" t="str">
        <f aca="true">IFERROR(IF(N62="","",DATEVALUE(TEXT(N62,"DD.MM.YYYY"))-TODAY()),"Tarih Yok")</f>
        <v>Tarih Yok</v>
      </c>
      <c r="P62" s="28" t="str">
        <f aca="true">IFERROR(IF(N62="","Tarih Yok",IF(DATEVALUE(TEXT(N62,"DD.MM.YYYY"))&lt;TODAY(),"GECİKMİŞ",IF(DATEVALUE(TEXT(N62,"DD.MM.YYYY"))-TODAY()&lt;=30,"30 GÜN İÇİNDE",IF(DATEVALUE(TEXT(N62,"DD.MM.YYYY"))-TODAY()&lt;=90,"90 GÜN İÇİNDE","Takvimdeyiz")))),"Tarih Kontrol")</f>
        <v>Tarih Kontrol</v>
      </c>
      <c r="Q62" s="28" t="s">
        <v>98</v>
      </c>
      <c r="R62" s="28"/>
      <c r="S62" s="28" t="s">
        <v>360</v>
      </c>
      <c r="T62" s="28" t="s">
        <v>35</v>
      </c>
    </row>
    <row r="63" customFormat="false" ht="15" hidden="false" customHeight="false" outlineLevel="0" collapsed="false">
      <c r="A63" s="28" t="s">
        <v>620</v>
      </c>
      <c r="B63" s="28" t="s">
        <v>114</v>
      </c>
      <c r="C63" s="28" t="s">
        <v>114</v>
      </c>
      <c r="D63" s="28" t="s">
        <v>362</v>
      </c>
      <c r="E63" s="28" t="s">
        <v>363</v>
      </c>
      <c r="F63" s="28" t="s">
        <v>621</v>
      </c>
      <c r="G63" s="29" t="n">
        <v>270</v>
      </c>
      <c r="H63" s="28" t="s">
        <v>365</v>
      </c>
      <c r="I63" s="28" t="s">
        <v>366</v>
      </c>
      <c r="J63" s="28"/>
      <c r="K63" s="28" t="s">
        <v>367</v>
      </c>
      <c r="L63" s="28" t="s">
        <v>368</v>
      </c>
      <c r="M63" s="28" t="s">
        <v>369</v>
      </c>
      <c r="N63" s="28" t="s">
        <v>370</v>
      </c>
      <c r="O63" s="28" t="str">
        <f aca="true">IFERROR(IF(N63="","",DATEVALUE(TEXT(N63,"DD.MM.YYYY"))-TODAY()),"Tarih Yok")</f>
        <v>Tarih Yok</v>
      </c>
      <c r="P63" s="28" t="str">
        <f aca="true">IFERROR(IF(N63="","Tarih Yok",IF(DATEVALUE(TEXT(N63,"DD.MM.YYYY"))&lt;TODAY(),"GECİKMİŞ",IF(DATEVALUE(TEXT(N63,"DD.MM.YYYY"))-TODAY()&lt;=30,"30 GÜN İÇİNDE",IF(DATEVALUE(TEXT(N63,"DD.MM.YYYY"))-TODAY()&lt;=90,"90 GÜN İÇİNDE","Takvimdeyiz")))),"Tarih Kontrol")</f>
        <v>Tarih Kontrol</v>
      </c>
      <c r="Q63" s="28" t="s">
        <v>110</v>
      </c>
      <c r="R63" s="28"/>
      <c r="S63" s="28" t="s">
        <v>371</v>
      </c>
      <c r="T63" s="28" t="s">
        <v>35</v>
      </c>
    </row>
    <row r="64" customFormat="false" ht="15" hidden="false" customHeight="false" outlineLevel="0" collapsed="false">
      <c r="A64" s="28" t="s">
        <v>622</v>
      </c>
      <c r="B64" s="28" t="s">
        <v>114</v>
      </c>
      <c r="C64" s="28" t="s">
        <v>114</v>
      </c>
      <c r="D64" s="28" t="s">
        <v>373</v>
      </c>
      <c r="E64" s="28" t="s">
        <v>374</v>
      </c>
      <c r="F64" s="28" t="s">
        <v>623</v>
      </c>
      <c r="G64" s="29" t="n">
        <v>289</v>
      </c>
      <c r="H64" s="28" t="s">
        <v>357</v>
      </c>
      <c r="I64" s="28" t="s">
        <v>366</v>
      </c>
      <c r="J64" s="28"/>
      <c r="K64" s="28" t="s">
        <v>367</v>
      </c>
      <c r="L64" s="28" t="s">
        <v>368</v>
      </c>
      <c r="M64" s="28" t="s">
        <v>376</v>
      </c>
      <c r="N64" s="28" t="s">
        <v>377</v>
      </c>
      <c r="O64" s="28" t="str">
        <f aca="true">IFERROR(IF(N64="","",DATEVALUE(TEXT(N64,"DD.MM.YYYY"))-TODAY()),"Tarih Yok")</f>
        <v>Tarih Yok</v>
      </c>
      <c r="P64" s="28" t="str">
        <f aca="true">IFERROR(IF(N64="","Tarih Yok",IF(DATEVALUE(TEXT(N64,"DD.MM.YYYY"))&lt;TODAY(),"GECİKMİŞ",IF(DATEVALUE(TEXT(N64,"DD.MM.YYYY"))-TODAY()&lt;=30,"30 GÜN İÇİNDE",IF(DATEVALUE(TEXT(N64,"DD.MM.YYYY"))-TODAY()&lt;=90,"90 GÜN İÇİNDE","Takvimdeyiz")))),"Tarih Kontrol")</f>
        <v>Tarih Kontrol</v>
      </c>
      <c r="Q64" s="28" t="s">
        <v>110</v>
      </c>
      <c r="R64" s="28"/>
      <c r="S64" s="28" t="s">
        <v>371</v>
      </c>
      <c r="T64" s="28" t="s">
        <v>35</v>
      </c>
    </row>
    <row r="65" customFormat="false" ht="15" hidden="false" customHeight="false" outlineLevel="0" collapsed="false">
      <c r="A65" s="28" t="s">
        <v>624</v>
      </c>
      <c r="B65" s="28" t="s">
        <v>114</v>
      </c>
      <c r="C65" s="28" t="s">
        <v>114</v>
      </c>
      <c r="D65" s="28" t="s">
        <v>379</v>
      </c>
      <c r="E65" s="28" t="s">
        <v>380</v>
      </c>
      <c r="F65" s="28" t="s">
        <v>625</v>
      </c>
      <c r="G65" s="29" t="n">
        <v>289</v>
      </c>
      <c r="H65" s="28" t="s">
        <v>365</v>
      </c>
      <c r="I65" s="28" t="s">
        <v>366</v>
      </c>
      <c r="J65" s="28"/>
      <c r="K65" s="28" t="s">
        <v>367</v>
      </c>
      <c r="L65" s="28" t="s">
        <v>368</v>
      </c>
      <c r="M65" s="28" t="s">
        <v>369</v>
      </c>
      <c r="N65" s="28" t="s">
        <v>370</v>
      </c>
      <c r="O65" s="28" t="str">
        <f aca="true">IFERROR(IF(N65="","",DATEVALUE(TEXT(N65,"DD.MM.YYYY"))-TODAY()),"Tarih Yok")</f>
        <v>Tarih Yok</v>
      </c>
      <c r="P65" s="28" t="str">
        <f aca="true">IFERROR(IF(N65="","Tarih Yok",IF(DATEVALUE(TEXT(N65,"DD.MM.YYYY"))&lt;TODAY(),"GECİKMİŞ",IF(DATEVALUE(TEXT(N65,"DD.MM.YYYY"))-TODAY()&lt;=30,"30 GÜN İÇİNDE",IF(DATEVALUE(TEXT(N65,"DD.MM.YYYY"))-TODAY()&lt;=90,"90 GÜN İÇİNDE","Takvimdeyiz")))),"Tarih Kontrol")</f>
        <v>Tarih Kontrol</v>
      </c>
      <c r="Q65" s="28" t="s">
        <v>110</v>
      </c>
      <c r="R65" s="28"/>
      <c r="S65" s="28" t="s">
        <v>371</v>
      </c>
      <c r="T65" s="28" t="s">
        <v>35</v>
      </c>
    </row>
    <row r="66" customFormat="false" ht="15" hidden="false" customHeight="false" outlineLevel="0" collapsed="false">
      <c r="A66" s="28" t="s">
        <v>626</v>
      </c>
      <c r="B66" s="28" t="s">
        <v>114</v>
      </c>
      <c r="C66" s="28" t="s">
        <v>114</v>
      </c>
      <c r="D66" s="28" t="s">
        <v>383</v>
      </c>
      <c r="E66" s="28" t="s">
        <v>384</v>
      </c>
      <c r="F66" s="28" t="s">
        <v>627</v>
      </c>
      <c r="G66" s="29" t="n">
        <v>510</v>
      </c>
      <c r="H66" s="28" t="s">
        <v>357</v>
      </c>
      <c r="I66" s="28" t="s">
        <v>366</v>
      </c>
      <c r="J66" s="28"/>
      <c r="K66" s="28" t="s">
        <v>367</v>
      </c>
      <c r="L66" s="28" t="s">
        <v>368</v>
      </c>
      <c r="M66" s="28" t="s">
        <v>386</v>
      </c>
      <c r="N66" s="28" t="s">
        <v>387</v>
      </c>
      <c r="O66" s="28" t="str">
        <f aca="true">IFERROR(IF(N66="","",DATEVALUE(TEXT(N66,"DD.MM.YYYY"))-TODAY()),"Tarih Yok")</f>
        <v>Tarih Yok</v>
      </c>
      <c r="P66" s="28" t="str">
        <f aca="true">IFERROR(IF(N66="","Tarih Yok",IF(DATEVALUE(TEXT(N66,"DD.MM.YYYY"))&lt;TODAY(),"GECİKMİŞ",IF(DATEVALUE(TEXT(N66,"DD.MM.YYYY"))-TODAY()&lt;=30,"30 GÜN İÇİNDE",IF(DATEVALUE(TEXT(N66,"DD.MM.YYYY"))-TODAY()&lt;=90,"90 GÜN İÇİNDE","Takvimdeyiz")))),"Tarih Kontrol")</f>
        <v>Tarih Kontrol</v>
      </c>
      <c r="Q66" s="28" t="s">
        <v>110</v>
      </c>
      <c r="R66" s="28"/>
      <c r="S66" s="28" t="s">
        <v>371</v>
      </c>
      <c r="T66" s="28" t="s">
        <v>35</v>
      </c>
    </row>
    <row r="67" customFormat="false" ht="15" hidden="false" customHeight="false" outlineLevel="0" collapsed="false">
      <c r="A67" s="28" t="s">
        <v>628</v>
      </c>
      <c r="B67" s="28" t="s">
        <v>114</v>
      </c>
      <c r="C67" s="28" t="s">
        <v>114</v>
      </c>
      <c r="D67" s="28" t="s">
        <v>389</v>
      </c>
      <c r="E67" s="28" t="s">
        <v>390</v>
      </c>
      <c r="F67" s="28" t="s">
        <v>629</v>
      </c>
      <c r="G67" s="29" t="n">
        <v>511</v>
      </c>
      <c r="H67" s="28" t="s">
        <v>365</v>
      </c>
      <c r="I67" s="28" t="s">
        <v>366</v>
      </c>
      <c r="J67" s="28"/>
      <c r="K67" s="28" t="s">
        <v>367</v>
      </c>
      <c r="L67" s="28" t="s">
        <v>368</v>
      </c>
      <c r="M67" s="28" t="s">
        <v>369</v>
      </c>
      <c r="N67" s="28" t="s">
        <v>370</v>
      </c>
      <c r="O67" s="28" t="str">
        <f aca="true">IFERROR(IF(N67="","",DATEVALUE(TEXT(N67,"DD.MM.YYYY"))-TODAY()),"Tarih Yok")</f>
        <v>Tarih Yok</v>
      </c>
      <c r="P67" s="28" t="str">
        <f aca="true">IFERROR(IF(N67="","Tarih Yok",IF(DATEVALUE(TEXT(N67,"DD.MM.YYYY"))&lt;TODAY(),"GECİKMİŞ",IF(DATEVALUE(TEXT(N67,"DD.MM.YYYY"))-TODAY()&lt;=30,"30 GÜN İÇİNDE",IF(DATEVALUE(TEXT(N67,"DD.MM.YYYY"))-TODAY()&lt;=90,"90 GÜN İÇİNDE","Takvimdeyiz")))),"Tarih Kontrol")</f>
        <v>Tarih Kontrol</v>
      </c>
      <c r="Q67" s="28" t="s">
        <v>110</v>
      </c>
      <c r="R67" s="28"/>
      <c r="S67" s="28" t="s">
        <v>371</v>
      </c>
      <c r="T67" s="28" t="s">
        <v>35</v>
      </c>
    </row>
    <row r="68" customFormat="false" ht="15" hidden="false" customHeight="false" outlineLevel="0" collapsed="false">
      <c r="A68" s="28" t="s">
        <v>630</v>
      </c>
      <c r="B68" s="28" t="s">
        <v>114</v>
      </c>
      <c r="C68" s="28" t="s">
        <v>114</v>
      </c>
      <c r="D68" s="28" t="s">
        <v>393</v>
      </c>
      <c r="E68" s="28" t="s">
        <v>394</v>
      </c>
      <c r="F68" s="28" t="s">
        <v>631</v>
      </c>
      <c r="G68" s="29" t="n">
        <v>115</v>
      </c>
      <c r="H68" s="28" t="s">
        <v>357</v>
      </c>
      <c r="I68" s="28" t="s">
        <v>366</v>
      </c>
      <c r="J68" s="28"/>
      <c r="K68" s="28" t="s">
        <v>367</v>
      </c>
      <c r="L68" s="28" t="s">
        <v>368</v>
      </c>
      <c r="M68" s="28" t="s">
        <v>369</v>
      </c>
      <c r="N68" s="28" t="s">
        <v>370</v>
      </c>
      <c r="O68" s="28" t="str">
        <f aca="true">IFERROR(IF(N68="","",DATEVALUE(TEXT(N68,"DD.MM.YYYY"))-TODAY()),"Tarih Yok")</f>
        <v>Tarih Yok</v>
      </c>
      <c r="P68" s="28" t="str">
        <f aca="true">IFERROR(IF(N68="","Tarih Yok",IF(DATEVALUE(TEXT(N68,"DD.MM.YYYY"))&lt;TODAY(),"GECİKMİŞ",IF(DATEVALUE(TEXT(N68,"DD.MM.YYYY"))-TODAY()&lt;=30,"30 GÜN İÇİNDE",IF(DATEVALUE(TEXT(N68,"DD.MM.YYYY"))-TODAY()&lt;=90,"90 GÜN İÇİNDE","Takvimdeyiz")))),"Tarih Kontrol")</f>
        <v>Tarih Kontrol</v>
      </c>
      <c r="Q68" s="28" t="s">
        <v>110</v>
      </c>
      <c r="R68" s="28"/>
      <c r="S68" s="28" t="s">
        <v>371</v>
      </c>
      <c r="T68" s="28" t="s">
        <v>35</v>
      </c>
    </row>
    <row r="69" customFormat="false" ht="15" hidden="false" customHeight="false" outlineLevel="0" collapsed="false">
      <c r="A69" s="28" t="s">
        <v>632</v>
      </c>
      <c r="B69" s="28" t="s">
        <v>114</v>
      </c>
      <c r="C69" s="28" t="s">
        <v>114</v>
      </c>
      <c r="D69" s="28" t="s">
        <v>397</v>
      </c>
      <c r="E69" s="28" t="s">
        <v>398</v>
      </c>
      <c r="F69" s="28" t="s">
        <v>633</v>
      </c>
      <c r="G69" s="29" t="n">
        <v>100</v>
      </c>
      <c r="H69" s="28" t="s">
        <v>357</v>
      </c>
      <c r="I69" s="28" t="s">
        <v>366</v>
      </c>
      <c r="J69" s="28"/>
      <c r="K69" s="28" t="s">
        <v>367</v>
      </c>
      <c r="L69" s="28" t="s">
        <v>368</v>
      </c>
      <c r="M69" s="28" t="s">
        <v>369</v>
      </c>
      <c r="N69" s="28" t="s">
        <v>370</v>
      </c>
      <c r="O69" s="28" t="str">
        <f aca="true">IFERROR(IF(N69="","",DATEVALUE(TEXT(N69,"DD.MM.YYYY"))-TODAY()),"Tarih Yok")</f>
        <v>Tarih Yok</v>
      </c>
      <c r="P69" s="28" t="str">
        <f aca="true">IFERROR(IF(N69="","Tarih Yok",IF(DATEVALUE(TEXT(N69,"DD.MM.YYYY"))&lt;TODAY(),"GECİKMİŞ",IF(DATEVALUE(TEXT(N69,"DD.MM.YYYY"))-TODAY()&lt;=30,"30 GÜN İÇİNDE",IF(DATEVALUE(TEXT(N69,"DD.MM.YYYY"))-TODAY()&lt;=90,"90 GÜN İÇİNDE","Takvimdeyiz")))),"Tarih Kontrol")</f>
        <v>Tarih Kontrol</v>
      </c>
      <c r="Q69" s="28" t="s">
        <v>110</v>
      </c>
      <c r="R69" s="28"/>
      <c r="S69" s="28" t="s">
        <v>371</v>
      </c>
      <c r="T69" s="28" t="s">
        <v>35</v>
      </c>
    </row>
    <row r="70" customFormat="false" ht="15" hidden="false" customHeight="false" outlineLevel="0" collapsed="false">
      <c r="A70" s="28" t="s">
        <v>634</v>
      </c>
      <c r="B70" s="28" t="s">
        <v>114</v>
      </c>
      <c r="C70" s="28" t="s">
        <v>114</v>
      </c>
      <c r="D70" s="28" t="s">
        <v>401</v>
      </c>
      <c r="E70" s="28" t="s">
        <v>402</v>
      </c>
      <c r="F70" s="28" t="s">
        <v>635</v>
      </c>
      <c r="G70" s="29" t="n">
        <v>74</v>
      </c>
      <c r="H70" s="28" t="s">
        <v>365</v>
      </c>
      <c r="I70" s="28" t="s">
        <v>349</v>
      </c>
      <c r="J70" s="28"/>
      <c r="K70" s="28" t="s">
        <v>350</v>
      </c>
      <c r="L70" s="28" t="s">
        <v>107</v>
      </c>
      <c r="M70" s="28" t="s">
        <v>404</v>
      </c>
      <c r="N70" s="28" t="s">
        <v>405</v>
      </c>
      <c r="O70" s="28" t="str">
        <f aca="true">IFERROR(IF(N70="","",DATEVALUE(TEXT(N70,"DD.MM.YYYY"))-TODAY()),"Tarih Yok")</f>
        <v>Tarih Yok</v>
      </c>
      <c r="P70" s="28" t="str">
        <f aca="true">IFERROR(IF(N70="","Tarih Yok",IF(DATEVALUE(TEXT(N70,"DD.MM.YYYY"))&lt;TODAY(),"GECİKMİŞ",IF(DATEVALUE(TEXT(N70,"DD.MM.YYYY"))-TODAY()&lt;=30,"30 GÜN İÇİNDE",IF(DATEVALUE(TEXT(N70,"DD.MM.YYYY"))-TODAY()&lt;=90,"90 GÜN İÇİNDE","Takvimdeyiz")))),"Tarih Kontrol")</f>
        <v>Tarih Kontrol</v>
      </c>
      <c r="Q70" s="28" t="s">
        <v>98</v>
      </c>
      <c r="R70" s="28"/>
      <c r="S70" s="28" t="s">
        <v>406</v>
      </c>
      <c r="T70" s="28" t="s">
        <v>35</v>
      </c>
    </row>
    <row r="71" customFormat="false" ht="15" hidden="false" customHeight="false" outlineLevel="0" collapsed="false">
      <c r="A71" s="28" t="s">
        <v>636</v>
      </c>
      <c r="B71" s="28" t="s">
        <v>114</v>
      </c>
      <c r="C71" s="28" t="s">
        <v>114</v>
      </c>
      <c r="D71" s="28" t="s">
        <v>408</v>
      </c>
      <c r="E71" s="28" t="s">
        <v>409</v>
      </c>
      <c r="F71" s="28" t="s">
        <v>637</v>
      </c>
      <c r="G71" s="29" t="n">
        <v>119</v>
      </c>
      <c r="H71" s="28" t="s">
        <v>411</v>
      </c>
      <c r="I71" s="28" t="s">
        <v>366</v>
      </c>
      <c r="J71" s="28"/>
      <c r="K71" s="28" t="s">
        <v>367</v>
      </c>
      <c r="L71" s="28" t="s">
        <v>368</v>
      </c>
      <c r="M71" s="28" t="s">
        <v>386</v>
      </c>
      <c r="N71" s="28" t="s">
        <v>638</v>
      </c>
      <c r="O71" s="28" t="str">
        <f aca="true">IFERROR(IF(N71="","",DATEVALUE(TEXT(N71,"DD.MM.YYYY"))-TODAY()),"Tarih Yok")</f>
        <v>Tarih Yok</v>
      </c>
      <c r="P71" s="28" t="str">
        <f aca="true">IFERROR(IF(N71="","Tarih Yok",IF(DATEVALUE(TEXT(N71,"DD.MM.YYYY"))&lt;TODAY(),"GECİKMİŞ",IF(DATEVALUE(TEXT(N71,"DD.MM.YYYY"))-TODAY()&lt;=30,"30 GÜN İÇİNDE",IF(DATEVALUE(TEXT(N71,"DD.MM.YYYY"))-TODAY()&lt;=90,"90 GÜN İÇİNDE","Takvimdeyiz")))),"Tarih Kontrol")</f>
        <v>Tarih Kontrol</v>
      </c>
      <c r="Q71" s="28" t="s">
        <v>120</v>
      </c>
      <c r="R71" s="28"/>
      <c r="S71" s="28" t="s">
        <v>371</v>
      </c>
      <c r="T71" s="28" t="s">
        <v>35</v>
      </c>
    </row>
    <row r="72" customFormat="false" ht="15" hidden="false" customHeight="false" outlineLevel="0" collapsed="false">
      <c r="A72" s="28" t="s">
        <v>639</v>
      </c>
      <c r="B72" s="28" t="s">
        <v>114</v>
      </c>
      <c r="C72" s="28" t="s">
        <v>114</v>
      </c>
      <c r="D72" s="28" t="s">
        <v>413</v>
      </c>
      <c r="E72" s="28" t="s">
        <v>422</v>
      </c>
      <c r="F72" s="28" t="s">
        <v>640</v>
      </c>
      <c r="G72" s="29" t="n">
        <v>63</v>
      </c>
      <c r="H72" s="28" t="s">
        <v>641</v>
      </c>
      <c r="I72" s="28" t="s">
        <v>349</v>
      </c>
      <c r="J72" s="28"/>
      <c r="K72" s="28" t="s">
        <v>350</v>
      </c>
      <c r="L72" s="28" t="s">
        <v>107</v>
      </c>
      <c r="M72" s="28" t="s">
        <v>358</v>
      </c>
      <c r="N72" s="28" t="s">
        <v>359</v>
      </c>
      <c r="O72" s="28" t="str">
        <f aca="true">IFERROR(IF(N72="","",DATEVALUE(TEXT(N72,"DD.MM.YYYY"))-TODAY()),"Tarih Yok")</f>
        <v>Tarih Yok</v>
      </c>
      <c r="P72" s="28" t="str">
        <f aca="true">IFERROR(IF(N72="","Tarih Yok",IF(DATEVALUE(TEXT(N72,"DD.MM.YYYY"))&lt;TODAY(),"GECİKMİŞ",IF(DATEVALUE(TEXT(N72,"DD.MM.YYYY"))-TODAY()&lt;=30,"30 GÜN İÇİNDE",IF(DATEVALUE(TEXT(N72,"DD.MM.YYYY"))-TODAY()&lt;=90,"90 GÜN İÇİNDE","Takvimdeyiz")))),"Tarih Kontrol")</f>
        <v>Tarih Kontrol</v>
      </c>
      <c r="Q72" s="28" t="s">
        <v>98</v>
      </c>
      <c r="R72" s="28"/>
      <c r="S72" s="28" t="s">
        <v>406</v>
      </c>
      <c r="T72" s="28" t="s">
        <v>35</v>
      </c>
    </row>
    <row r="73" customFormat="false" ht="15" hidden="false" customHeight="false" outlineLevel="0" collapsed="false">
      <c r="A73" s="28" t="s">
        <v>642</v>
      </c>
      <c r="B73" s="28" t="s">
        <v>114</v>
      </c>
      <c r="C73" s="28" t="s">
        <v>114</v>
      </c>
      <c r="D73" s="28" t="s">
        <v>421</v>
      </c>
      <c r="E73" s="28" t="s">
        <v>426</v>
      </c>
      <c r="F73" s="28" t="s">
        <v>643</v>
      </c>
      <c r="G73" s="29" t="n">
        <v>13</v>
      </c>
      <c r="H73" s="28" t="s">
        <v>644</v>
      </c>
      <c r="I73" s="28" t="s">
        <v>349</v>
      </c>
      <c r="J73" s="28"/>
      <c r="K73" s="28" t="s">
        <v>350</v>
      </c>
      <c r="L73" s="28" t="s">
        <v>107</v>
      </c>
      <c r="M73" s="28" t="s">
        <v>428</v>
      </c>
      <c r="N73" s="28" t="s">
        <v>638</v>
      </c>
      <c r="O73" s="28" t="str">
        <f aca="true">IFERROR(IF(N73="","",DATEVALUE(TEXT(N73,"DD.MM.YYYY"))-TODAY()),"Tarih Yok")</f>
        <v>Tarih Yok</v>
      </c>
      <c r="P73" s="28" t="str">
        <f aca="true">IFERROR(IF(N73="","Tarih Yok",IF(DATEVALUE(TEXT(N73,"DD.MM.YYYY"))&lt;TODAY(),"GECİKMİŞ",IF(DATEVALUE(TEXT(N73,"DD.MM.YYYY"))-TODAY()&lt;=30,"30 GÜN İÇİNDE",IF(DATEVALUE(TEXT(N73,"DD.MM.YYYY"))-TODAY()&lt;=90,"90 GÜN İÇİNDE","Takvimdeyiz")))),"Tarih Kontrol")</f>
        <v>Tarih Kontrol</v>
      </c>
      <c r="Q73" s="28" t="s">
        <v>110</v>
      </c>
      <c r="R73" s="28"/>
      <c r="S73" s="28" t="s">
        <v>429</v>
      </c>
      <c r="T73" s="28" t="s">
        <v>35</v>
      </c>
    </row>
    <row r="74" customFormat="false" ht="15" hidden="false" customHeight="false" outlineLevel="0" collapsed="false">
      <c r="A74" s="28" t="s">
        <v>645</v>
      </c>
      <c r="B74" s="28" t="s">
        <v>114</v>
      </c>
      <c r="C74" s="28" t="s">
        <v>114</v>
      </c>
      <c r="D74" s="28" t="s">
        <v>425</v>
      </c>
      <c r="E74" s="28" t="s">
        <v>432</v>
      </c>
      <c r="F74" s="28" t="s">
        <v>646</v>
      </c>
      <c r="G74" s="29" t="n">
        <v>68</v>
      </c>
      <c r="H74" s="28" t="s">
        <v>647</v>
      </c>
      <c r="I74" s="28" t="s">
        <v>349</v>
      </c>
      <c r="J74" s="28"/>
      <c r="K74" s="28" t="s">
        <v>350</v>
      </c>
      <c r="L74" s="28" t="s">
        <v>107</v>
      </c>
      <c r="M74" s="28" t="s">
        <v>358</v>
      </c>
      <c r="N74" s="28" t="s">
        <v>359</v>
      </c>
      <c r="O74" s="28" t="str">
        <f aca="true">IFERROR(IF(N74="","",DATEVALUE(TEXT(N74,"DD.MM.YYYY"))-TODAY()),"Tarih Yok")</f>
        <v>Tarih Yok</v>
      </c>
      <c r="P74" s="28" t="str">
        <f aca="true">IFERROR(IF(N74="","Tarih Yok",IF(DATEVALUE(TEXT(N74,"DD.MM.YYYY"))&lt;TODAY(),"GECİKMİŞ",IF(DATEVALUE(TEXT(N74,"DD.MM.YYYY"))-TODAY()&lt;=30,"30 GÜN İÇİNDE",IF(DATEVALUE(TEXT(N74,"DD.MM.YYYY"))-TODAY()&lt;=90,"90 GÜN İÇİNDE","Takvimdeyiz")))),"Tarih Kontrol")</f>
        <v>Tarih Kontrol</v>
      </c>
      <c r="Q74" s="28" t="s">
        <v>98</v>
      </c>
      <c r="R74" s="28"/>
      <c r="S74" s="28" t="s">
        <v>406</v>
      </c>
      <c r="T74" s="28" t="s">
        <v>35</v>
      </c>
    </row>
    <row r="75" customFormat="false" ht="15" hidden="false" customHeight="false" outlineLevel="0" collapsed="false">
      <c r="A75" s="28" t="s">
        <v>648</v>
      </c>
      <c r="B75" s="28" t="s">
        <v>114</v>
      </c>
      <c r="C75" s="28" t="s">
        <v>114</v>
      </c>
      <c r="D75" s="28" t="s">
        <v>431</v>
      </c>
      <c r="E75" s="28" t="s">
        <v>436</v>
      </c>
      <c r="F75" s="28" t="s">
        <v>649</v>
      </c>
      <c r="G75" s="29" t="n">
        <v>115</v>
      </c>
      <c r="H75" s="28" t="s">
        <v>647</v>
      </c>
      <c r="I75" s="28" t="s">
        <v>349</v>
      </c>
      <c r="J75" s="28"/>
      <c r="K75" s="28" t="s">
        <v>350</v>
      </c>
      <c r="L75" s="28" t="s">
        <v>107</v>
      </c>
      <c r="M75" s="28" t="s">
        <v>369</v>
      </c>
      <c r="N75" s="28" t="s">
        <v>638</v>
      </c>
      <c r="O75" s="28" t="str">
        <f aca="true">IFERROR(IF(N75="","",DATEVALUE(TEXT(N75,"DD.MM.YYYY"))-TODAY()),"Tarih Yok")</f>
        <v>Tarih Yok</v>
      </c>
      <c r="P75" s="28" t="str">
        <f aca="true">IFERROR(IF(N75="","Tarih Yok",IF(DATEVALUE(TEXT(N75,"DD.MM.YYYY"))&lt;TODAY(),"GECİKMİŞ",IF(DATEVALUE(TEXT(N75,"DD.MM.YYYY"))-TODAY()&lt;=30,"30 GÜN İÇİNDE",IF(DATEVALUE(TEXT(N75,"DD.MM.YYYY"))-TODAY()&lt;=90,"90 GÜN İÇİNDE","Takvimdeyiz")))),"Tarih Kontrol")</f>
        <v>Tarih Kontrol</v>
      </c>
      <c r="Q75" s="28" t="s">
        <v>141</v>
      </c>
      <c r="R75" s="28"/>
      <c r="S75" s="28"/>
      <c r="T75" s="28" t="s">
        <v>35</v>
      </c>
    </row>
    <row r="76" customFormat="false" ht="15" hidden="false" customHeight="false" outlineLevel="0" collapsed="false">
      <c r="A76" s="28" t="s">
        <v>650</v>
      </c>
      <c r="B76" s="28" t="s">
        <v>651</v>
      </c>
      <c r="C76" s="28" t="s">
        <v>124</v>
      </c>
      <c r="D76" s="28" t="s">
        <v>345</v>
      </c>
      <c r="E76" s="28" t="s">
        <v>440</v>
      </c>
      <c r="F76" s="28" t="s">
        <v>345</v>
      </c>
      <c r="G76" s="29" t="n">
        <v>115</v>
      </c>
      <c r="H76" s="28" t="s">
        <v>441</v>
      </c>
      <c r="I76" s="28" t="s">
        <v>349</v>
      </c>
      <c r="J76" s="28"/>
      <c r="K76" s="28" t="s">
        <v>350</v>
      </c>
      <c r="L76" s="28" t="s">
        <v>107</v>
      </c>
      <c r="M76" s="28" t="s">
        <v>442</v>
      </c>
      <c r="N76" s="28" t="s">
        <v>443</v>
      </c>
      <c r="O76" s="28" t="str">
        <f aca="true">IFERROR(IF(N76="","",DATEVALUE(TEXT(N76,"DD.MM.YYYY"))-TODAY()),"Tarih Yok")</f>
        <v>Tarih Yok</v>
      </c>
      <c r="P76" s="28" t="str">
        <f aca="true">IFERROR(IF(N76="","Tarih Yok",IF(DATEVALUE(TEXT(N76,"DD.MM.YYYY"))&lt;TODAY(),"GECİKMİŞ",IF(DATEVALUE(TEXT(N76,"DD.MM.YYYY"))-TODAY()&lt;=30,"30 GÜN İÇİNDE",IF(DATEVALUE(TEXT(N76,"DD.MM.YYYY"))-TODAY()&lt;=90,"90 GÜN İÇİNDE","Takvimdeyiz")))),"Tarih Kontrol")</f>
        <v>Tarih Kontrol</v>
      </c>
      <c r="Q76" s="28" t="s">
        <v>98</v>
      </c>
      <c r="R76" s="28"/>
      <c r="S76" s="28" t="s">
        <v>11</v>
      </c>
      <c r="T76" s="28" t="s">
        <v>35</v>
      </c>
    </row>
    <row r="77" customFormat="false" ht="15" hidden="false" customHeight="false" outlineLevel="0" collapsed="false">
      <c r="A77" s="28" t="s">
        <v>652</v>
      </c>
      <c r="B77" s="28" t="s">
        <v>651</v>
      </c>
      <c r="C77" s="28" t="s">
        <v>124</v>
      </c>
      <c r="D77" s="28" t="s">
        <v>354</v>
      </c>
      <c r="E77" s="28" t="s">
        <v>446</v>
      </c>
      <c r="F77" s="28" t="s">
        <v>354</v>
      </c>
      <c r="G77" s="29" t="n">
        <v>115</v>
      </c>
      <c r="H77" s="28" t="s">
        <v>441</v>
      </c>
      <c r="I77" s="28" t="s">
        <v>349</v>
      </c>
      <c r="J77" s="28"/>
      <c r="K77" s="28" t="s">
        <v>350</v>
      </c>
      <c r="L77" s="28" t="s">
        <v>107</v>
      </c>
      <c r="M77" s="28" t="s">
        <v>442</v>
      </c>
      <c r="N77" s="28" t="s">
        <v>443</v>
      </c>
      <c r="O77" s="28" t="str">
        <f aca="true">IFERROR(IF(N77="","",DATEVALUE(TEXT(N77,"DD.MM.YYYY"))-TODAY()),"Tarih Yok")</f>
        <v>Tarih Yok</v>
      </c>
      <c r="P77" s="28" t="str">
        <f aca="true">IFERROR(IF(N77="","Tarih Yok",IF(DATEVALUE(TEXT(N77,"DD.MM.YYYY"))&lt;TODAY(),"GECİKMİŞ",IF(DATEVALUE(TEXT(N77,"DD.MM.YYYY"))-TODAY()&lt;=30,"30 GÜN İÇİNDE",IF(DATEVALUE(TEXT(N77,"DD.MM.YYYY"))-TODAY()&lt;=90,"90 GÜN İÇİNDE","Takvimdeyiz")))),"Tarih Kontrol")</f>
        <v>Tarih Kontrol</v>
      </c>
      <c r="Q77" s="28" t="s">
        <v>98</v>
      </c>
      <c r="R77" s="28"/>
      <c r="S77" s="28" t="s">
        <v>11</v>
      </c>
      <c r="T77" s="28" t="s">
        <v>35</v>
      </c>
    </row>
    <row r="78" customFormat="false" ht="15" hidden="false" customHeight="false" outlineLevel="0" collapsed="false">
      <c r="A78" s="28" t="s">
        <v>653</v>
      </c>
      <c r="B78" s="28" t="s">
        <v>651</v>
      </c>
      <c r="C78" s="28" t="s">
        <v>124</v>
      </c>
      <c r="D78" s="28" t="s">
        <v>362</v>
      </c>
      <c r="E78" s="28" t="s">
        <v>449</v>
      </c>
      <c r="F78" s="28" t="s">
        <v>362</v>
      </c>
      <c r="G78" s="29" t="n">
        <v>115</v>
      </c>
      <c r="H78" s="28" t="s">
        <v>441</v>
      </c>
      <c r="I78" s="28" t="s">
        <v>349</v>
      </c>
      <c r="J78" s="28"/>
      <c r="K78" s="28" t="s">
        <v>350</v>
      </c>
      <c r="L78" s="28" t="s">
        <v>107</v>
      </c>
      <c r="M78" s="28" t="s">
        <v>442</v>
      </c>
      <c r="N78" s="28" t="s">
        <v>443</v>
      </c>
      <c r="O78" s="28" t="str">
        <f aca="true">IFERROR(IF(N78="","",DATEVALUE(TEXT(N78,"DD.MM.YYYY"))-TODAY()),"Tarih Yok")</f>
        <v>Tarih Yok</v>
      </c>
      <c r="P78" s="28" t="str">
        <f aca="true">IFERROR(IF(N78="","Tarih Yok",IF(DATEVALUE(TEXT(N78,"DD.MM.YYYY"))&lt;TODAY(),"GECİKMİŞ",IF(DATEVALUE(TEXT(N78,"DD.MM.YYYY"))-TODAY()&lt;=30,"30 GÜN İÇİNDE",IF(DATEVALUE(TEXT(N78,"DD.MM.YYYY"))-TODAY()&lt;=90,"90 GÜN İÇİNDE","Takvimdeyiz")))),"Tarih Kontrol")</f>
        <v>Tarih Kontrol</v>
      </c>
      <c r="Q78" s="28" t="s">
        <v>98</v>
      </c>
      <c r="R78" s="28"/>
      <c r="S78" s="28" t="s">
        <v>11</v>
      </c>
      <c r="T78" s="28" t="s">
        <v>35</v>
      </c>
    </row>
    <row r="79" customFormat="false" ht="15" hidden="false" customHeight="false" outlineLevel="0" collapsed="false">
      <c r="A79" s="28" t="s">
        <v>654</v>
      </c>
      <c r="B79" s="28" t="s">
        <v>651</v>
      </c>
      <c r="C79" s="28" t="s">
        <v>124</v>
      </c>
      <c r="D79" s="28" t="s">
        <v>373</v>
      </c>
      <c r="E79" s="28" t="s">
        <v>452</v>
      </c>
      <c r="F79" s="28" t="s">
        <v>373</v>
      </c>
      <c r="G79" s="29" t="n">
        <v>115</v>
      </c>
      <c r="H79" s="28" t="s">
        <v>441</v>
      </c>
      <c r="I79" s="28" t="s">
        <v>349</v>
      </c>
      <c r="J79" s="28"/>
      <c r="K79" s="28" t="s">
        <v>350</v>
      </c>
      <c r="L79" s="28" t="s">
        <v>107</v>
      </c>
      <c r="M79" s="28" t="s">
        <v>442</v>
      </c>
      <c r="N79" s="28" t="s">
        <v>443</v>
      </c>
      <c r="O79" s="28" t="str">
        <f aca="true">IFERROR(IF(N79="","",DATEVALUE(TEXT(N79,"DD.MM.YYYY"))-TODAY()),"Tarih Yok")</f>
        <v>Tarih Yok</v>
      </c>
      <c r="P79" s="28" t="str">
        <f aca="true">IFERROR(IF(N79="","Tarih Yok",IF(DATEVALUE(TEXT(N79,"DD.MM.YYYY"))&lt;TODAY(),"GECİKMİŞ",IF(DATEVALUE(TEXT(N79,"DD.MM.YYYY"))-TODAY()&lt;=30,"30 GÜN İÇİNDE",IF(DATEVALUE(TEXT(N79,"DD.MM.YYYY"))-TODAY()&lt;=90,"90 GÜN İÇİNDE","Takvimdeyiz")))),"Tarih Kontrol")</f>
        <v>Tarih Kontrol</v>
      </c>
      <c r="Q79" s="28" t="s">
        <v>98</v>
      </c>
      <c r="R79" s="28"/>
      <c r="S79" s="28" t="s">
        <v>11</v>
      </c>
      <c r="T79" s="28" t="s">
        <v>35</v>
      </c>
    </row>
    <row r="80" customFormat="false" ht="15" hidden="false" customHeight="false" outlineLevel="0" collapsed="false">
      <c r="A80" s="28" t="s">
        <v>655</v>
      </c>
      <c r="B80" s="28" t="s">
        <v>651</v>
      </c>
      <c r="C80" s="28" t="s">
        <v>124</v>
      </c>
      <c r="D80" s="28" t="s">
        <v>379</v>
      </c>
      <c r="E80" s="28" t="s">
        <v>455</v>
      </c>
      <c r="F80" s="28" t="s">
        <v>379</v>
      </c>
      <c r="G80" s="29" t="n">
        <v>115</v>
      </c>
      <c r="H80" s="28" t="s">
        <v>441</v>
      </c>
      <c r="I80" s="28" t="s">
        <v>349</v>
      </c>
      <c r="J80" s="28"/>
      <c r="K80" s="28" t="s">
        <v>350</v>
      </c>
      <c r="L80" s="28" t="s">
        <v>107</v>
      </c>
      <c r="M80" s="28" t="s">
        <v>442</v>
      </c>
      <c r="N80" s="28" t="s">
        <v>443</v>
      </c>
      <c r="O80" s="28" t="str">
        <f aca="true">IFERROR(IF(N80="","",DATEVALUE(TEXT(N80,"DD.MM.YYYY"))-TODAY()),"Tarih Yok")</f>
        <v>Tarih Yok</v>
      </c>
      <c r="P80" s="28" t="str">
        <f aca="true">IFERROR(IF(N80="","Tarih Yok",IF(DATEVALUE(TEXT(N80,"DD.MM.YYYY"))&lt;TODAY(),"GECİKMİŞ",IF(DATEVALUE(TEXT(N80,"DD.MM.YYYY"))-TODAY()&lt;=30,"30 GÜN İÇİNDE",IF(DATEVALUE(TEXT(N80,"DD.MM.YYYY"))-TODAY()&lt;=90,"90 GÜN İÇİNDE","Takvimdeyiz")))),"Tarih Kontrol")</f>
        <v>Tarih Kontrol</v>
      </c>
      <c r="Q80" s="28" t="s">
        <v>98</v>
      </c>
      <c r="R80" s="28"/>
      <c r="S80" s="28" t="s">
        <v>11</v>
      </c>
      <c r="T80" s="28" t="s">
        <v>35</v>
      </c>
    </row>
    <row r="81" customFormat="false" ht="15" hidden="false" customHeight="false" outlineLevel="0" collapsed="false">
      <c r="A81" s="28" t="s">
        <v>656</v>
      </c>
      <c r="B81" s="28" t="s">
        <v>651</v>
      </c>
      <c r="C81" s="28" t="s">
        <v>124</v>
      </c>
      <c r="D81" s="28" t="s">
        <v>383</v>
      </c>
      <c r="E81" s="28" t="s">
        <v>458</v>
      </c>
      <c r="F81" s="28" t="s">
        <v>393</v>
      </c>
      <c r="G81" s="29" t="n">
        <v>115</v>
      </c>
      <c r="H81" s="28" t="s">
        <v>441</v>
      </c>
      <c r="I81" s="28" t="s">
        <v>349</v>
      </c>
      <c r="J81" s="28"/>
      <c r="K81" s="28" t="s">
        <v>350</v>
      </c>
      <c r="L81" s="28" t="s">
        <v>107</v>
      </c>
      <c r="M81" s="28" t="s">
        <v>442</v>
      </c>
      <c r="N81" s="28" t="s">
        <v>443</v>
      </c>
      <c r="O81" s="28" t="str">
        <f aca="true">IFERROR(IF(N81="","",DATEVALUE(TEXT(N81,"DD.MM.YYYY"))-TODAY()),"Tarih Yok")</f>
        <v>Tarih Yok</v>
      </c>
      <c r="P81" s="28" t="str">
        <f aca="true">IFERROR(IF(N81="","Tarih Yok",IF(DATEVALUE(TEXT(N81,"DD.MM.YYYY"))&lt;TODAY(),"GECİKMİŞ",IF(DATEVALUE(TEXT(N81,"DD.MM.YYYY"))-TODAY()&lt;=30,"30 GÜN İÇİNDE",IF(DATEVALUE(TEXT(N81,"DD.MM.YYYY"))-TODAY()&lt;=90,"90 GÜN İÇİNDE","Takvimdeyiz")))),"Tarih Kontrol")</f>
        <v>Tarih Kontrol</v>
      </c>
      <c r="Q81" s="28" t="s">
        <v>98</v>
      </c>
      <c r="R81" s="28"/>
      <c r="S81" s="28" t="s">
        <v>11</v>
      </c>
      <c r="T81" s="28" t="s">
        <v>35</v>
      </c>
    </row>
    <row r="82" customFormat="false" ht="15" hidden="false" customHeight="false" outlineLevel="0" collapsed="false">
      <c r="A82" s="28" t="s">
        <v>657</v>
      </c>
      <c r="B82" s="28" t="s">
        <v>651</v>
      </c>
      <c r="C82" s="28" t="s">
        <v>124</v>
      </c>
      <c r="D82" s="28" t="s">
        <v>389</v>
      </c>
      <c r="E82" s="28" t="s">
        <v>461</v>
      </c>
      <c r="F82" s="28" t="s">
        <v>397</v>
      </c>
      <c r="G82" s="29" t="n">
        <v>115</v>
      </c>
      <c r="H82" s="28" t="s">
        <v>441</v>
      </c>
      <c r="I82" s="28" t="s">
        <v>349</v>
      </c>
      <c r="J82" s="28"/>
      <c r="K82" s="28" t="s">
        <v>350</v>
      </c>
      <c r="L82" s="28" t="s">
        <v>107</v>
      </c>
      <c r="M82" s="28" t="s">
        <v>442</v>
      </c>
      <c r="N82" s="28" t="s">
        <v>443</v>
      </c>
      <c r="O82" s="28" t="str">
        <f aca="true">IFERROR(IF(N82="","",DATEVALUE(TEXT(N82,"DD.MM.YYYY"))-TODAY()),"Tarih Yok")</f>
        <v>Tarih Yok</v>
      </c>
      <c r="P82" s="28" t="str">
        <f aca="true">IFERROR(IF(N82="","Tarih Yok",IF(DATEVALUE(TEXT(N82,"DD.MM.YYYY"))&lt;TODAY(),"GECİKMİŞ",IF(DATEVALUE(TEXT(N82,"DD.MM.YYYY"))-TODAY()&lt;=30,"30 GÜN İÇİNDE",IF(DATEVALUE(TEXT(N82,"DD.MM.YYYY"))-TODAY()&lt;=90,"90 GÜN İÇİNDE","Takvimdeyiz")))),"Tarih Kontrol")</f>
        <v>Tarih Kontrol</v>
      </c>
      <c r="Q82" s="28" t="s">
        <v>98</v>
      </c>
      <c r="R82" s="28"/>
      <c r="S82" s="28" t="s">
        <v>11</v>
      </c>
      <c r="T82" s="28" t="s">
        <v>35</v>
      </c>
    </row>
    <row r="83" customFormat="false" ht="15" hidden="false" customHeight="false" outlineLevel="0" collapsed="false">
      <c r="A83" s="28" t="s">
        <v>658</v>
      </c>
      <c r="B83" s="28" t="s">
        <v>651</v>
      </c>
      <c r="C83" s="28" t="s">
        <v>124</v>
      </c>
      <c r="D83" s="28" t="s">
        <v>393</v>
      </c>
      <c r="E83" s="28" t="s">
        <v>464</v>
      </c>
      <c r="F83" s="28" t="s">
        <v>401</v>
      </c>
      <c r="G83" s="29" t="n">
        <v>115</v>
      </c>
      <c r="H83" s="28" t="s">
        <v>441</v>
      </c>
      <c r="I83" s="28" t="s">
        <v>349</v>
      </c>
      <c r="J83" s="28"/>
      <c r="K83" s="28" t="s">
        <v>350</v>
      </c>
      <c r="L83" s="28" t="s">
        <v>107</v>
      </c>
      <c r="M83" s="28" t="s">
        <v>442</v>
      </c>
      <c r="N83" s="28" t="s">
        <v>443</v>
      </c>
      <c r="O83" s="28" t="str">
        <f aca="true">IFERROR(IF(N83="","",DATEVALUE(TEXT(N83,"DD.MM.YYYY"))-TODAY()),"Tarih Yok")</f>
        <v>Tarih Yok</v>
      </c>
      <c r="P83" s="28" t="str">
        <f aca="true">IFERROR(IF(N83="","Tarih Yok",IF(DATEVALUE(TEXT(N83,"DD.MM.YYYY"))&lt;TODAY(),"GECİKMİŞ",IF(DATEVALUE(TEXT(N83,"DD.MM.YYYY"))-TODAY()&lt;=30,"30 GÜN İÇİNDE",IF(DATEVALUE(TEXT(N83,"DD.MM.YYYY"))-TODAY()&lt;=90,"90 GÜN İÇİNDE","Takvimdeyiz")))),"Tarih Kontrol")</f>
        <v>Tarih Kontrol</v>
      </c>
      <c r="Q83" s="28" t="s">
        <v>98</v>
      </c>
      <c r="R83" s="28"/>
      <c r="S83" s="28" t="s">
        <v>11</v>
      </c>
      <c r="T83" s="28" t="s">
        <v>35</v>
      </c>
    </row>
    <row r="84" customFormat="false" ht="15" hidden="false" customHeight="false" outlineLevel="0" collapsed="false">
      <c r="A84" s="28" t="s">
        <v>659</v>
      </c>
      <c r="B84" s="28" t="s">
        <v>651</v>
      </c>
      <c r="C84" s="28" t="s">
        <v>124</v>
      </c>
      <c r="D84" s="28" t="s">
        <v>397</v>
      </c>
      <c r="E84" s="28" t="s">
        <v>467</v>
      </c>
      <c r="F84" s="28" t="s">
        <v>383</v>
      </c>
      <c r="G84" s="29" t="n">
        <v>67</v>
      </c>
      <c r="H84" s="28" t="s">
        <v>441</v>
      </c>
      <c r="I84" s="28" t="s">
        <v>349</v>
      </c>
      <c r="J84" s="28"/>
      <c r="K84" s="28" t="s">
        <v>350</v>
      </c>
      <c r="L84" s="28" t="s">
        <v>107</v>
      </c>
      <c r="M84" s="28" t="s">
        <v>442</v>
      </c>
      <c r="N84" s="28" t="s">
        <v>443</v>
      </c>
      <c r="O84" s="28" t="str">
        <f aca="true">IFERROR(IF(N84="","",DATEVALUE(TEXT(N84,"DD.MM.YYYY"))-TODAY()),"Tarih Yok")</f>
        <v>Tarih Yok</v>
      </c>
      <c r="P84" s="28" t="str">
        <f aca="true">IFERROR(IF(N84="","Tarih Yok",IF(DATEVALUE(TEXT(N84,"DD.MM.YYYY"))&lt;TODAY(),"GECİKMİŞ",IF(DATEVALUE(TEXT(N84,"DD.MM.YYYY"))-TODAY()&lt;=30,"30 GÜN İÇİNDE",IF(DATEVALUE(TEXT(N84,"DD.MM.YYYY"))-TODAY()&lt;=90,"90 GÜN İÇİNDE","Takvimdeyiz")))),"Tarih Kontrol")</f>
        <v>Tarih Kontrol</v>
      </c>
      <c r="Q84" s="28" t="s">
        <v>98</v>
      </c>
      <c r="R84" s="28"/>
      <c r="S84" s="28" t="s">
        <v>11</v>
      </c>
      <c r="T84" s="28" t="s">
        <v>35</v>
      </c>
    </row>
    <row r="85" customFormat="false" ht="15" hidden="false" customHeight="false" outlineLevel="0" collapsed="false">
      <c r="A85" s="28" t="s">
        <v>660</v>
      </c>
      <c r="B85" s="28" t="s">
        <v>651</v>
      </c>
      <c r="C85" s="28" t="s">
        <v>124</v>
      </c>
      <c r="D85" s="28" t="s">
        <v>401</v>
      </c>
      <c r="E85" s="28" t="s">
        <v>470</v>
      </c>
      <c r="F85" s="28" t="s">
        <v>389</v>
      </c>
      <c r="G85" s="29" t="n">
        <v>67</v>
      </c>
      <c r="H85" s="28" t="s">
        <v>441</v>
      </c>
      <c r="I85" s="28" t="s">
        <v>349</v>
      </c>
      <c r="J85" s="28"/>
      <c r="K85" s="28" t="s">
        <v>350</v>
      </c>
      <c r="L85" s="28" t="s">
        <v>107</v>
      </c>
      <c r="M85" s="28" t="s">
        <v>442</v>
      </c>
      <c r="N85" s="28" t="s">
        <v>443</v>
      </c>
      <c r="O85" s="28" t="str">
        <f aca="true">IFERROR(IF(N85="","",DATEVALUE(TEXT(N85,"DD.MM.YYYY"))-TODAY()),"Tarih Yok")</f>
        <v>Tarih Yok</v>
      </c>
      <c r="P85" s="28" t="str">
        <f aca="true">IFERROR(IF(N85="","Tarih Yok",IF(DATEVALUE(TEXT(N85,"DD.MM.YYYY"))&lt;TODAY(),"GECİKMİŞ",IF(DATEVALUE(TEXT(N85,"DD.MM.YYYY"))-TODAY()&lt;=30,"30 GÜN İÇİNDE",IF(DATEVALUE(TEXT(N85,"DD.MM.YYYY"))-TODAY()&lt;=90,"90 GÜN İÇİNDE","Takvimdeyiz")))),"Tarih Kontrol")</f>
        <v>Tarih Kontrol</v>
      </c>
      <c r="Q85" s="28" t="s">
        <v>98</v>
      </c>
      <c r="R85" s="28"/>
      <c r="S85" s="28" t="s">
        <v>11</v>
      </c>
      <c r="T85" s="28" t="s">
        <v>35</v>
      </c>
    </row>
    <row r="86" customFormat="false" ht="15" hidden="false" customHeight="false" outlineLevel="0" collapsed="false">
      <c r="A86" s="28" t="s">
        <v>661</v>
      </c>
      <c r="B86" s="28" t="s">
        <v>651</v>
      </c>
      <c r="C86" s="28" t="s">
        <v>124</v>
      </c>
      <c r="D86" s="28" t="s">
        <v>408</v>
      </c>
      <c r="E86" s="28" t="s">
        <v>473</v>
      </c>
      <c r="F86" s="28" t="s">
        <v>408</v>
      </c>
      <c r="G86" s="29" t="n">
        <v>53</v>
      </c>
      <c r="H86" s="28" t="s">
        <v>474</v>
      </c>
      <c r="I86" s="28" t="s">
        <v>366</v>
      </c>
      <c r="J86" s="28"/>
      <c r="K86" s="28" t="s">
        <v>350</v>
      </c>
      <c r="L86" s="28" t="s">
        <v>368</v>
      </c>
      <c r="M86" s="28" t="s">
        <v>475</v>
      </c>
      <c r="N86" s="28" t="s">
        <v>476</v>
      </c>
      <c r="O86" s="28" t="str">
        <f aca="true">IFERROR(IF(N86="","",DATEVALUE(TEXT(N86,"DD.MM.YYYY"))-TODAY()),"Tarih Yok")</f>
        <v>Tarih Yok</v>
      </c>
      <c r="P86" s="28" t="str">
        <f aca="true">IFERROR(IF(N86="","Tarih Yok",IF(DATEVALUE(TEXT(N86,"DD.MM.YYYY"))&lt;TODAY(),"GECİKMİŞ",IF(DATEVALUE(TEXT(N86,"DD.MM.YYYY"))-TODAY()&lt;=30,"30 GÜN İÇİNDE",IF(DATEVALUE(TEXT(N86,"DD.MM.YYYY"))-TODAY()&lt;=90,"90 GÜN İÇİNDE","Takvimdeyiz")))),"Tarih Kontrol")</f>
        <v>Tarih Kontrol</v>
      </c>
      <c r="Q86" s="28" t="s">
        <v>98</v>
      </c>
      <c r="R86" s="28"/>
      <c r="S86" s="28" t="s">
        <v>11</v>
      </c>
      <c r="T86" s="28" t="s">
        <v>35</v>
      </c>
    </row>
    <row r="87" customFormat="false" ht="15" hidden="false" customHeight="false" outlineLevel="0" collapsed="false">
      <c r="A87" s="28" t="s">
        <v>662</v>
      </c>
      <c r="B87" s="28" t="s">
        <v>651</v>
      </c>
      <c r="C87" s="28" t="s">
        <v>124</v>
      </c>
      <c r="D87" s="28" t="s">
        <v>413</v>
      </c>
      <c r="E87" s="28" t="s">
        <v>479</v>
      </c>
      <c r="F87" s="28" t="s">
        <v>413</v>
      </c>
      <c r="G87" s="29" t="n">
        <v>53</v>
      </c>
      <c r="H87" s="28" t="s">
        <v>474</v>
      </c>
      <c r="I87" s="28" t="s">
        <v>366</v>
      </c>
      <c r="J87" s="28"/>
      <c r="K87" s="28" t="s">
        <v>350</v>
      </c>
      <c r="L87" s="28" t="s">
        <v>368</v>
      </c>
      <c r="M87" s="28" t="s">
        <v>475</v>
      </c>
      <c r="N87" s="28" t="s">
        <v>476</v>
      </c>
      <c r="O87" s="28" t="str">
        <f aca="true">IFERROR(IF(N87="","",DATEVALUE(TEXT(N87,"DD.MM.YYYY"))-TODAY()),"Tarih Yok")</f>
        <v>Tarih Yok</v>
      </c>
      <c r="P87" s="28" t="str">
        <f aca="true">IFERROR(IF(N87="","Tarih Yok",IF(DATEVALUE(TEXT(N87,"DD.MM.YYYY"))&lt;TODAY(),"GECİKMİŞ",IF(DATEVALUE(TEXT(N87,"DD.MM.YYYY"))-TODAY()&lt;=30,"30 GÜN İÇİNDE",IF(DATEVALUE(TEXT(N87,"DD.MM.YYYY"))-TODAY()&lt;=90,"90 GÜN İÇİNDE","Takvimdeyiz")))),"Tarih Kontrol")</f>
        <v>Tarih Kontrol</v>
      </c>
      <c r="Q87" s="28" t="s">
        <v>98</v>
      </c>
      <c r="R87" s="28"/>
      <c r="S87" s="28" t="s">
        <v>11</v>
      </c>
      <c r="T87" s="28" t="s">
        <v>35</v>
      </c>
    </row>
    <row r="88" customFormat="false" ht="15" hidden="false" customHeight="false" outlineLevel="0" collapsed="false">
      <c r="A88" s="28" t="s">
        <v>663</v>
      </c>
      <c r="B88" s="28" t="s">
        <v>651</v>
      </c>
      <c r="C88" s="28" t="s">
        <v>124</v>
      </c>
      <c r="D88" s="28" t="s">
        <v>421</v>
      </c>
      <c r="E88" s="28" t="s">
        <v>482</v>
      </c>
      <c r="F88" s="28" t="s">
        <v>421</v>
      </c>
      <c r="G88" s="29" t="n">
        <v>53</v>
      </c>
      <c r="H88" s="28" t="s">
        <v>474</v>
      </c>
      <c r="I88" s="28" t="s">
        <v>366</v>
      </c>
      <c r="J88" s="28"/>
      <c r="K88" s="28" t="s">
        <v>350</v>
      </c>
      <c r="L88" s="28" t="s">
        <v>368</v>
      </c>
      <c r="M88" s="28" t="s">
        <v>475</v>
      </c>
      <c r="N88" s="28" t="s">
        <v>476</v>
      </c>
      <c r="O88" s="28" t="str">
        <f aca="true">IFERROR(IF(N88="","",DATEVALUE(TEXT(N88,"DD.MM.YYYY"))-TODAY()),"Tarih Yok")</f>
        <v>Tarih Yok</v>
      </c>
      <c r="P88" s="28" t="str">
        <f aca="true">IFERROR(IF(N88="","Tarih Yok",IF(DATEVALUE(TEXT(N88,"DD.MM.YYYY"))&lt;TODAY(),"GECİKMİŞ",IF(DATEVALUE(TEXT(N88,"DD.MM.YYYY"))-TODAY()&lt;=30,"30 GÜN İÇİNDE",IF(DATEVALUE(TEXT(N88,"DD.MM.YYYY"))-TODAY()&lt;=90,"90 GÜN İÇİNDE","Takvimdeyiz")))),"Tarih Kontrol")</f>
        <v>Tarih Kontrol</v>
      </c>
      <c r="Q88" s="28" t="s">
        <v>98</v>
      </c>
      <c r="R88" s="28"/>
      <c r="S88" s="28" t="s">
        <v>11</v>
      </c>
      <c r="T88" s="28" t="s">
        <v>35</v>
      </c>
    </row>
    <row r="89" customFormat="false" ht="15" hidden="false" customHeight="false" outlineLevel="0" collapsed="false">
      <c r="A89" s="28" t="s">
        <v>664</v>
      </c>
      <c r="B89" s="28" t="s">
        <v>651</v>
      </c>
      <c r="C89" s="28" t="s">
        <v>124</v>
      </c>
      <c r="D89" s="28" t="s">
        <v>425</v>
      </c>
      <c r="E89" s="28" t="s">
        <v>485</v>
      </c>
      <c r="F89" s="28" t="s">
        <v>425</v>
      </c>
      <c r="G89" s="29" t="n">
        <v>10</v>
      </c>
      <c r="H89" s="28" t="s">
        <v>486</v>
      </c>
      <c r="I89" s="28" t="s">
        <v>349</v>
      </c>
      <c r="J89" s="28"/>
      <c r="K89" s="28" t="s">
        <v>350</v>
      </c>
      <c r="L89" s="28" t="s">
        <v>107</v>
      </c>
      <c r="M89" s="28" t="s">
        <v>487</v>
      </c>
      <c r="N89" s="28" t="s">
        <v>488</v>
      </c>
      <c r="O89" s="28" t="str">
        <f aca="true">IFERROR(IF(N89="","",DATEVALUE(TEXT(N89,"DD.MM.YYYY"))-TODAY()),"Tarih Yok")</f>
        <v>Tarih Yok</v>
      </c>
      <c r="P89" s="28" t="str">
        <f aca="true">IFERROR(IF(N89="","Tarih Yok",IF(DATEVALUE(TEXT(N89,"DD.MM.YYYY"))&lt;TODAY(),"GECİKMİŞ",IF(DATEVALUE(TEXT(N89,"DD.MM.YYYY"))-TODAY()&lt;=30,"30 GÜN İÇİNDE",IF(DATEVALUE(TEXT(N89,"DD.MM.YYYY"))-TODAY()&lt;=90,"90 GÜN İÇİNDE","Takvimdeyiz")))),"Tarih Kontrol")</f>
        <v>Tarih Kontrol</v>
      </c>
      <c r="Q89" s="28" t="s">
        <v>132</v>
      </c>
      <c r="R89" s="28"/>
      <c r="S89" s="28" t="s">
        <v>489</v>
      </c>
      <c r="T89" s="28" t="s">
        <v>35</v>
      </c>
    </row>
    <row r="90" customFormat="false" ht="15" hidden="false" customHeight="false" outlineLevel="0" collapsed="false">
      <c r="A90" s="28" t="s">
        <v>665</v>
      </c>
      <c r="B90" s="28" t="s">
        <v>651</v>
      </c>
      <c r="C90" s="28" t="s">
        <v>124</v>
      </c>
      <c r="D90" s="28" t="s">
        <v>431</v>
      </c>
      <c r="E90" s="28" t="s">
        <v>492</v>
      </c>
      <c r="F90" s="28" t="s">
        <v>431</v>
      </c>
      <c r="G90" s="29" t="n">
        <v>20</v>
      </c>
      <c r="H90" s="28" t="s">
        <v>441</v>
      </c>
      <c r="I90" s="28" t="s">
        <v>349</v>
      </c>
      <c r="J90" s="28"/>
      <c r="K90" s="28" t="s">
        <v>350</v>
      </c>
      <c r="L90" s="28" t="s">
        <v>107</v>
      </c>
      <c r="M90" s="28" t="s">
        <v>487</v>
      </c>
      <c r="N90" s="28" t="s">
        <v>488</v>
      </c>
      <c r="O90" s="28" t="str">
        <f aca="true">IFERROR(IF(N90="","",DATEVALUE(TEXT(N90,"DD.MM.YYYY"))-TODAY()),"Tarih Yok")</f>
        <v>Tarih Yok</v>
      </c>
      <c r="P90" s="28" t="str">
        <f aca="true">IFERROR(IF(N90="","Tarih Yok",IF(DATEVALUE(TEXT(N90,"DD.MM.YYYY"))&lt;TODAY(),"GECİKMİŞ",IF(DATEVALUE(TEXT(N90,"DD.MM.YYYY"))-TODAY()&lt;=30,"30 GÜN İÇİNDE",IF(DATEVALUE(TEXT(N90,"DD.MM.YYYY"))-TODAY()&lt;=90,"90 GÜN İÇİNDE","Takvimdeyiz")))),"Tarih Kontrol")</f>
        <v>Tarih Kontrol</v>
      </c>
      <c r="Q90" s="28" t="s">
        <v>132</v>
      </c>
      <c r="R90" s="28"/>
      <c r="S90" s="28" t="s">
        <v>493</v>
      </c>
      <c r="T90" s="28" t="s">
        <v>35</v>
      </c>
    </row>
    <row r="91" customFormat="false" ht="15" hidden="false" customHeight="false" outlineLevel="0" collapsed="false">
      <c r="A91" s="28" t="s">
        <v>666</v>
      </c>
      <c r="B91" s="28" t="s">
        <v>651</v>
      </c>
      <c r="C91" s="28" t="s">
        <v>124</v>
      </c>
      <c r="D91" s="28" t="s">
        <v>435</v>
      </c>
      <c r="E91" s="28" t="s">
        <v>589</v>
      </c>
      <c r="F91" s="28"/>
      <c r="G91" s="29" t="n">
        <v>15</v>
      </c>
      <c r="H91" s="28" t="s">
        <v>590</v>
      </c>
      <c r="I91" s="28" t="s">
        <v>349</v>
      </c>
      <c r="J91" s="28"/>
      <c r="K91" s="28" t="s">
        <v>591</v>
      </c>
      <c r="L91" s="28" t="s">
        <v>107</v>
      </c>
      <c r="M91" s="28" t="s">
        <v>487</v>
      </c>
      <c r="N91" s="28" t="s">
        <v>592</v>
      </c>
      <c r="O91" s="28" t="str">
        <f aca="true">IFERROR(IF(N91="","",DATEVALUE(TEXT(N91,"DD.MM.YYYY"))-TODAY()),"Tarih Yok")</f>
        <v>Tarih Yok</v>
      </c>
      <c r="P91" s="28" t="str">
        <f aca="true">IFERROR(IF(N91="","Tarih Yok",IF(DATEVALUE(TEXT(N91,"DD.MM.YYYY"))&lt;TODAY(),"GECİKMİŞ",IF(DATEVALUE(TEXT(N91,"DD.MM.YYYY"))-TODAY()&lt;=30,"30 GÜN İÇİNDE",IF(DATEVALUE(TEXT(N91,"DD.MM.YYYY"))-TODAY()&lt;=90,"90 GÜN İÇİNDE","Takvimdeyiz")))),"Tarih Kontrol")</f>
        <v>Tarih Kontrol</v>
      </c>
      <c r="Q91" s="28" t="s">
        <v>98</v>
      </c>
      <c r="R91" s="28"/>
      <c r="S91" s="28" t="s">
        <v>593</v>
      </c>
      <c r="T91" s="28" t="s">
        <v>35</v>
      </c>
    </row>
    <row r="92" customFormat="false" ht="15" hidden="false" customHeight="false" outlineLevel="0" collapsed="false">
      <c r="A92" s="28" t="s">
        <v>667</v>
      </c>
      <c r="B92" s="28" t="s">
        <v>668</v>
      </c>
      <c r="C92" s="28" t="s">
        <v>136</v>
      </c>
      <c r="D92" s="28" t="s">
        <v>345</v>
      </c>
      <c r="E92" s="28" t="s">
        <v>509</v>
      </c>
      <c r="F92" s="28" t="s">
        <v>669</v>
      </c>
      <c r="G92" s="29" t="n">
        <v>75</v>
      </c>
      <c r="H92" s="28" t="s">
        <v>510</v>
      </c>
      <c r="I92" s="28" t="s">
        <v>366</v>
      </c>
      <c r="J92" s="28"/>
      <c r="K92" s="28" t="s">
        <v>116</v>
      </c>
      <c r="L92" s="28" t="s">
        <v>368</v>
      </c>
      <c r="M92" s="28" t="s">
        <v>511</v>
      </c>
      <c r="N92" s="28" t="s">
        <v>512</v>
      </c>
      <c r="O92" s="28" t="str">
        <f aca="true">IFERROR(IF(N92="","",DATEVALUE(TEXT(N92,"DD.MM.YYYY"))-TODAY()),"Tarih Yok")</f>
        <v>Tarih Yok</v>
      </c>
      <c r="P92" s="28" t="str">
        <f aca="true">IFERROR(IF(N92="","Tarih Yok",IF(DATEVALUE(TEXT(N92,"DD.MM.YYYY"))&lt;TODAY(),"GECİKMİŞ",IF(DATEVALUE(TEXT(N92,"DD.MM.YYYY"))-TODAY()&lt;=30,"30 GÜN İÇİNDE",IF(DATEVALUE(TEXT(N92,"DD.MM.YYYY"))-TODAY()&lt;=90,"90 GÜN İÇİNDE","Takvimdeyiz")))),"Tarih Kontrol")</f>
        <v>Tarih Kontrol</v>
      </c>
      <c r="Q92" s="28" t="s">
        <v>98</v>
      </c>
      <c r="R92" s="28"/>
      <c r="S92" s="28" t="s">
        <v>513</v>
      </c>
      <c r="T92" s="28" t="s">
        <v>35</v>
      </c>
    </row>
    <row r="93" customFormat="false" ht="15" hidden="false" customHeight="false" outlineLevel="0" collapsed="false">
      <c r="A93" s="28" t="s">
        <v>670</v>
      </c>
      <c r="B93" s="28" t="s">
        <v>668</v>
      </c>
      <c r="C93" s="28" t="s">
        <v>136</v>
      </c>
      <c r="D93" s="28" t="s">
        <v>354</v>
      </c>
      <c r="E93" s="28" t="s">
        <v>516</v>
      </c>
      <c r="F93" s="28" t="s">
        <v>671</v>
      </c>
      <c r="G93" s="29" t="n">
        <v>75</v>
      </c>
      <c r="H93" s="28" t="s">
        <v>510</v>
      </c>
      <c r="I93" s="28" t="s">
        <v>366</v>
      </c>
      <c r="J93" s="28"/>
      <c r="K93" s="28" t="s">
        <v>116</v>
      </c>
      <c r="L93" s="28" t="s">
        <v>368</v>
      </c>
      <c r="M93" s="28" t="s">
        <v>511</v>
      </c>
      <c r="N93" s="28" t="s">
        <v>512</v>
      </c>
      <c r="O93" s="28" t="str">
        <f aca="true">IFERROR(IF(N93="","",DATEVALUE(TEXT(N93,"DD.MM.YYYY"))-TODAY()),"Tarih Yok")</f>
        <v>Tarih Yok</v>
      </c>
      <c r="P93" s="28" t="str">
        <f aca="true">IFERROR(IF(N93="","Tarih Yok",IF(DATEVALUE(TEXT(N93,"DD.MM.YYYY"))&lt;TODAY(),"GECİKMİŞ",IF(DATEVALUE(TEXT(N93,"DD.MM.YYYY"))-TODAY()&lt;=30,"30 GÜN İÇİNDE",IF(DATEVALUE(TEXT(N93,"DD.MM.YYYY"))-TODAY()&lt;=90,"90 GÜN İÇİNDE","Takvimdeyiz")))),"Tarih Kontrol")</f>
        <v>Tarih Kontrol</v>
      </c>
      <c r="Q93" s="28" t="s">
        <v>98</v>
      </c>
      <c r="R93" s="28"/>
      <c r="S93" s="28" t="s">
        <v>406</v>
      </c>
      <c r="T93" s="28" t="s">
        <v>35</v>
      </c>
    </row>
    <row r="94" customFormat="false" ht="15" hidden="false" customHeight="false" outlineLevel="0" collapsed="false">
      <c r="A94" s="28" t="s">
        <v>672</v>
      </c>
      <c r="B94" s="28" t="s">
        <v>668</v>
      </c>
      <c r="C94" s="28" t="s">
        <v>136</v>
      </c>
      <c r="D94" s="28" t="s">
        <v>362</v>
      </c>
      <c r="E94" s="28" t="s">
        <v>519</v>
      </c>
      <c r="F94" s="28" t="s">
        <v>673</v>
      </c>
      <c r="G94" s="29" t="n">
        <v>75</v>
      </c>
      <c r="H94" s="28" t="s">
        <v>520</v>
      </c>
      <c r="I94" s="28" t="s">
        <v>366</v>
      </c>
      <c r="J94" s="28"/>
      <c r="K94" s="28" t="s">
        <v>116</v>
      </c>
      <c r="L94" s="28" t="s">
        <v>368</v>
      </c>
      <c r="M94" s="28" t="s">
        <v>511</v>
      </c>
      <c r="N94" s="28" t="s">
        <v>512</v>
      </c>
      <c r="O94" s="28" t="str">
        <f aca="true">IFERROR(IF(N94="","",DATEVALUE(TEXT(N94,"DD.MM.YYYY"))-TODAY()),"Tarih Yok")</f>
        <v>Tarih Yok</v>
      </c>
      <c r="P94" s="28" t="str">
        <f aca="true">IFERROR(IF(N94="","Tarih Yok",IF(DATEVALUE(TEXT(N94,"DD.MM.YYYY"))&lt;TODAY(),"GECİKMİŞ",IF(DATEVALUE(TEXT(N94,"DD.MM.YYYY"))-TODAY()&lt;=30,"30 GÜN İÇİNDE",IF(DATEVALUE(TEXT(N94,"DD.MM.YYYY"))-TODAY()&lt;=90,"90 GÜN İÇİNDE","Takvimdeyiz")))),"Tarih Kontrol")</f>
        <v>Tarih Kontrol</v>
      </c>
      <c r="Q94" s="28" t="s">
        <v>98</v>
      </c>
      <c r="R94" s="28"/>
      <c r="S94" s="28" t="s">
        <v>406</v>
      </c>
      <c r="T94" s="28" t="s">
        <v>35</v>
      </c>
    </row>
    <row r="95" customFormat="false" ht="15" hidden="false" customHeight="false" outlineLevel="0" collapsed="false">
      <c r="A95" s="28" t="s">
        <v>674</v>
      </c>
      <c r="B95" s="28" t="s">
        <v>668</v>
      </c>
      <c r="C95" s="28" t="s">
        <v>136</v>
      </c>
      <c r="D95" s="28" t="s">
        <v>373</v>
      </c>
      <c r="E95" s="28" t="s">
        <v>523</v>
      </c>
      <c r="F95" s="28" t="s">
        <v>675</v>
      </c>
      <c r="G95" s="29" t="n">
        <v>75</v>
      </c>
      <c r="H95" s="28" t="s">
        <v>510</v>
      </c>
      <c r="I95" s="28" t="s">
        <v>366</v>
      </c>
      <c r="J95" s="28"/>
      <c r="K95" s="28" t="s">
        <v>116</v>
      </c>
      <c r="L95" s="28" t="s">
        <v>368</v>
      </c>
      <c r="M95" s="28" t="s">
        <v>511</v>
      </c>
      <c r="N95" s="28" t="s">
        <v>512</v>
      </c>
      <c r="O95" s="28" t="str">
        <f aca="true">IFERROR(IF(N95="","",DATEVALUE(TEXT(N95,"DD.MM.YYYY"))-TODAY()),"Tarih Yok")</f>
        <v>Tarih Yok</v>
      </c>
      <c r="P95" s="28" t="str">
        <f aca="true">IFERROR(IF(N95="","Tarih Yok",IF(DATEVALUE(TEXT(N95,"DD.MM.YYYY"))&lt;TODAY(),"GECİKMİŞ",IF(DATEVALUE(TEXT(N95,"DD.MM.YYYY"))-TODAY()&lt;=30,"30 GÜN İÇİNDE",IF(DATEVALUE(TEXT(N95,"DD.MM.YYYY"))-TODAY()&lt;=90,"90 GÜN İÇİNDE","Takvimdeyiz")))),"Tarih Kontrol")</f>
        <v>Tarih Kontrol</v>
      </c>
      <c r="Q95" s="28" t="s">
        <v>98</v>
      </c>
      <c r="R95" s="28"/>
      <c r="S95" s="28" t="s">
        <v>406</v>
      </c>
      <c r="T95" s="28" t="s">
        <v>35</v>
      </c>
    </row>
    <row r="96" customFormat="false" ht="15" hidden="false" customHeight="false" outlineLevel="0" collapsed="false">
      <c r="A96" s="28" t="s">
        <v>676</v>
      </c>
      <c r="B96" s="28" t="s">
        <v>668</v>
      </c>
      <c r="C96" s="28" t="s">
        <v>136</v>
      </c>
      <c r="D96" s="28" t="s">
        <v>379</v>
      </c>
      <c r="E96" s="28" t="s">
        <v>526</v>
      </c>
      <c r="F96" s="28" t="s">
        <v>677</v>
      </c>
      <c r="G96" s="29" t="n">
        <v>61.5</v>
      </c>
      <c r="H96" s="28" t="s">
        <v>527</v>
      </c>
      <c r="I96" s="28" t="s">
        <v>349</v>
      </c>
      <c r="J96" s="28"/>
      <c r="K96" s="28" t="s">
        <v>350</v>
      </c>
      <c r="L96" s="28" t="s">
        <v>107</v>
      </c>
      <c r="M96" s="28" t="s">
        <v>428</v>
      </c>
      <c r="N96" s="28" t="s">
        <v>528</v>
      </c>
      <c r="O96" s="28" t="str">
        <f aca="true">IFERROR(IF(N96="","",DATEVALUE(TEXT(N96,"DD.MM.YYYY"))-TODAY()),"Tarih Yok")</f>
        <v>Tarih Yok</v>
      </c>
      <c r="P96" s="28" t="str">
        <f aca="true">IFERROR(IF(N96="","Tarih Yok",IF(DATEVALUE(TEXT(N96,"DD.MM.YYYY"))&lt;TODAY(),"GECİKMİŞ",IF(DATEVALUE(TEXT(N96,"DD.MM.YYYY"))-TODAY()&lt;=30,"30 GÜN İÇİNDE",IF(DATEVALUE(TEXT(N96,"DD.MM.YYYY"))-TODAY()&lt;=90,"90 GÜN İÇİNDE","Takvimdeyiz")))),"Tarih Kontrol")</f>
        <v>Tarih Kontrol</v>
      </c>
      <c r="Q96" s="28" t="s">
        <v>98</v>
      </c>
      <c r="R96" s="28"/>
      <c r="S96" s="28" t="s">
        <v>406</v>
      </c>
      <c r="T96" s="28" t="s">
        <v>35</v>
      </c>
    </row>
    <row r="97" customFormat="false" ht="15" hidden="false" customHeight="false" outlineLevel="0" collapsed="false">
      <c r="A97" s="28" t="s">
        <v>678</v>
      </c>
      <c r="B97" s="28" t="s">
        <v>668</v>
      </c>
      <c r="C97" s="28" t="s">
        <v>136</v>
      </c>
      <c r="D97" s="28" t="s">
        <v>383</v>
      </c>
      <c r="E97" s="28" t="s">
        <v>531</v>
      </c>
      <c r="F97" s="28" t="s">
        <v>679</v>
      </c>
      <c r="G97" s="29" t="n">
        <v>61.5</v>
      </c>
      <c r="H97" s="28" t="s">
        <v>532</v>
      </c>
      <c r="I97" s="28" t="s">
        <v>349</v>
      </c>
      <c r="J97" s="28"/>
      <c r="K97" s="28" t="s">
        <v>350</v>
      </c>
      <c r="L97" s="28" t="s">
        <v>107</v>
      </c>
      <c r="M97" s="28" t="s">
        <v>428</v>
      </c>
      <c r="N97" s="28" t="s">
        <v>528</v>
      </c>
      <c r="O97" s="28" t="str">
        <f aca="true">IFERROR(IF(N97="","",DATEVALUE(TEXT(N97,"DD.MM.YYYY"))-TODAY()),"Tarih Yok")</f>
        <v>Tarih Yok</v>
      </c>
      <c r="P97" s="28" t="str">
        <f aca="true">IFERROR(IF(N97="","Tarih Yok",IF(DATEVALUE(TEXT(N97,"DD.MM.YYYY"))&lt;TODAY(),"GECİKMİŞ",IF(DATEVALUE(TEXT(N97,"DD.MM.YYYY"))-TODAY()&lt;=30,"30 GÜN İÇİNDE",IF(DATEVALUE(TEXT(N97,"DD.MM.YYYY"))-TODAY()&lt;=90,"90 GÜN İÇİNDE","Takvimdeyiz")))),"Tarih Kontrol")</f>
        <v>Tarih Kontrol</v>
      </c>
      <c r="Q97" s="28" t="s">
        <v>98</v>
      </c>
      <c r="R97" s="28"/>
      <c r="S97" s="28" t="s">
        <v>406</v>
      </c>
      <c r="T97" s="28" t="s">
        <v>35</v>
      </c>
    </row>
    <row r="98" customFormat="false" ht="15" hidden="false" customHeight="false" outlineLevel="0" collapsed="false">
      <c r="A98" s="28" t="s">
        <v>680</v>
      </c>
      <c r="B98" s="28" t="s">
        <v>668</v>
      </c>
      <c r="C98" s="28" t="s">
        <v>136</v>
      </c>
      <c r="D98" s="28" t="s">
        <v>389</v>
      </c>
      <c r="E98" s="28" t="s">
        <v>535</v>
      </c>
      <c r="F98" s="28" t="s">
        <v>681</v>
      </c>
      <c r="G98" s="29" t="n">
        <v>61.5</v>
      </c>
      <c r="H98" s="28" t="s">
        <v>536</v>
      </c>
      <c r="I98" s="28" t="s">
        <v>349</v>
      </c>
      <c r="J98" s="28"/>
      <c r="K98" s="28" t="s">
        <v>350</v>
      </c>
      <c r="L98" s="28" t="s">
        <v>107</v>
      </c>
      <c r="M98" s="28" t="s">
        <v>428</v>
      </c>
      <c r="N98" s="28" t="s">
        <v>528</v>
      </c>
      <c r="O98" s="28" t="str">
        <f aca="true">IFERROR(IF(N98="","",DATEVALUE(TEXT(N98,"DD.MM.YYYY"))-TODAY()),"Tarih Yok")</f>
        <v>Tarih Yok</v>
      </c>
      <c r="P98" s="28" t="str">
        <f aca="true">IFERROR(IF(N98="","Tarih Yok",IF(DATEVALUE(TEXT(N98,"DD.MM.YYYY"))&lt;TODAY(),"GECİKMİŞ",IF(DATEVALUE(TEXT(N98,"DD.MM.YYYY"))-TODAY()&lt;=30,"30 GÜN İÇİNDE",IF(DATEVALUE(TEXT(N98,"DD.MM.YYYY"))-TODAY()&lt;=90,"90 GÜN İÇİNDE","Takvimdeyiz")))),"Tarih Kontrol")</f>
        <v>Tarih Kontrol</v>
      </c>
      <c r="Q98" s="28" t="s">
        <v>98</v>
      </c>
      <c r="R98" s="28"/>
      <c r="S98" s="28" t="s">
        <v>406</v>
      </c>
      <c r="T98" s="28" t="s">
        <v>35</v>
      </c>
    </row>
    <row r="99" customFormat="false" ht="15" hidden="false" customHeight="false" outlineLevel="0" collapsed="false">
      <c r="A99" s="28" t="s">
        <v>682</v>
      </c>
      <c r="B99" s="28" t="s">
        <v>668</v>
      </c>
      <c r="C99" s="28" t="s">
        <v>136</v>
      </c>
      <c r="D99" s="28" t="s">
        <v>393</v>
      </c>
      <c r="E99" s="28" t="s">
        <v>539</v>
      </c>
      <c r="F99" s="28" t="s">
        <v>683</v>
      </c>
      <c r="G99" s="29" t="n">
        <v>61.5</v>
      </c>
      <c r="H99" s="28" t="s">
        <v>540</v>
      </c>
      <c r="I99" s="28" t="s">
        <v>349</v>
      </c>
      <c r="J99" s="28"/>
      <c r="K99" s="28" t="s">
        <v>350</v>
      </c>
      <c r="L99" s="28" t="s">
        <v>107</v>
      </c>
      <c r="M99" s="28" t="s">
        <v>428</v>
      </c>
      <c r="N99" s="28" t="s">
        <v>528</v>
      </c>
      <c r="O99" s="28" t="str">
        <f aca="true">IFERROR(IF(N99="","",DATEVALUE(TEXT(N99,"DD.MM.YYYY"))-TODAY()),"Tarih Yok")</f>
        <v>Tarih Yok</v>
      </c>
      <c r="P99" s="28" t="str">
        <f aca="true">IFERROR(IF(N99="","Tarih Yok",IF(DATEVALUE(TEXT(N99,"DD.MM.YYYY"))&lt;TODAY(),"GECİKMİŞ",IF(DATEVALUE(TEXT(N99,"DD.MM.YYYY"))-TODAY()&lt;=30,"30 GÜN İÇİNDE",IF(DATEVALUE(TEXT(N99,"DD.MM.YYYY"))-TODAY()&lt;=90,"90 GÜN İÇİNDE","Takvimdeyiz")))),"Tarih Kontrol")</f>
        <v>Tarih Kontrol</v>
      </c>
      <c r="Q99" s="28" t="s">
        <v>98</v>
      </c>
      <c r="R99" s="28"/>
      <c r="S99" s="28" t="s">
        <v>406</v>
      </c>
      <c r="T99" s="28" t="s">
        <v>35</v>
      </c>
    </row>
    <row r="100" customFormat="false" ht="15" hidden="false" customHeight="false" outlineLevel="0" collapsed="false">
      <c r="A100" s="28" t="s">
        <v>684</v>
      </c>
      <c r="B100" s="28" t="s">
        <v>668</v>
      </c>
      <c r="C100" s="28" t="s">
        <v>136</v>
      </c>
      <c r="D100" s="28" t="s">
        <v>397</v>
      </c>
      <c r="E100" s="28" t="s">
        <v>543</v>
      </c>
      <c r="F100" s="28" t="s">
        <v>685</v>
      </c>
      <c r="G100" s="29" t="n">
        <v>61.5</v>
      </c>
      <c r="H100" s="28" t="s">
        <v>544</v>
      </c>
      <c r="I100" s="28" t="s">
        <v>349</v>
      </c>
      <c r="J100" s="28"/>
      <c r="K100" s="28" t="s">
        <v>350</v>
      </c>
      <c r="L100" s="28" t="s">
        <v>107</v>
      </c>
      <c r="M100" s="28" t="s">
        <v>428</v>
      </c>
      <c r="N100" s="28" t="s">
        <v>528</v>
      </c>
      <c r="O100" s="28" t="str">
        <f aca="true">IFERROR(IF(N100="","",DATEVALUE(TEXT(N100,"DD.MM.YYYY"))-TODAY()),"Tarih Yok")</f>
        <v>Tarih Yok</v>
      </c>
      <c r="P100" s="28" t="str">
        <f aca="true">IFERROR(IF(N100="","Tarih Yok",IF(DATEVALUE(TEXT(N100,"DD.MM.YYYY"))&lt;TODAY(),"GECİKMİŞ",IF(DATEVALUE(TEXT(N100,"DD.MM.YYYY"))-TODAY()&lt;=30,"30 GÜN İÇİNDE",IF(DATEVALUE(TEXT(N100,"DD.MM.YYYY"))-TODAY()&lt;=90,"90 GÜN İÇİNDE","Takvimdeyiz")))),"Tarih Kontrol")</f>
        <v>Tarih Kontrol</v>
      </c>
      <c r="Q100" s="28" t="s">
        <v>98</v>
      </c>
      <c r="R100" s="28"/>
      <c r="S100" s="28" t="s">
        <v>406</v>
      </c>
      <c r="T100" s="28" t="s">
        <v>35</v>
      </c>
    </row>
    <row r="101" customFormat="false" ht="15" hidden="false" customHeight="false" outlineLevel="0" collapsed="false">
      <c r="A101" s="28" t="s">
        <v>686</v>
      </c>
      <c r="B101" s="28" t="s">
        <v>668</v>
      </c>
      <c r="C101" s="28" t="s">
        <v>136</v>
      </c>
      <c r="D101" s="28" t="s">
        <v>401</v>
      </c>
      <c r="E101" s="28" t="s">
        <v>547</v>
      </c>
      <c r="F101" s="28" t="s">
        <v>687</v>
      </c>
      <c r="G101" s="29" t="n">
        <v>61.5</v>
      </c>
      <c r="H101" s="28" t="s">
        <v>548</v>
      </c>
      <c r="I101" s="28" t="s">
        <v>349</v>
      </c>
      <c r="J101" s="28"/>
      <c r="K101" s="28" t="s">
        <v>350</v>
      </c>
      <c r="L101" s="28" t="s">
        <v>107</v>
      </c>
      <c r="M101" s="28" t="s">
        <v>428</v>
      </c>
      <c r="N101" s="28" t="s">
        <v>528</v>
      </c>
      <c r="O101" s="28" t="str">
        <f aca="true">IFERROR(IF(N101="","",DATEVALUE(TEXT(N101,"DD.MM.YYYY"))-TODAY()),"Tarih Yok")</f>
        <v>Tarih Yok</v>
      </c>
      <c r="P101" s="28" t="str">
        <f aca="true">IFERROR(IF(N101="","Tarih Yok",IF(DATEVALUE(TEXT(N101,"DD.MM.YYYY"))&lt;TODAY(),"GECİKMİŞ",IF(DATEVALUE(TEXT(N101,"DD.MM.YYYY"))-TODAY()&lt;=30,"30 GÜN İÇİNDE",IF(DATEVALUE(TEXT(N101,"DD.MM.YYYY"))-TODAY()&lt;=90,"90 GÜN İÇİNDE","Takvimdeyiz")))),"Tarih Kontrol")</f>
        <v>Tarih Kontrol</v>
      </c>
      <c r="Q101" s="28" t="s">
        <v>98</v>
      </c>
      <c r="R101" s="28"/>
      <c r="S101" s="28" t="s">
        <v>406</v>
      </c>
      <c r="T101" s="28" t="s">
        <v>35</v>
      </c>
    </row>
    <row r="102" customFormat="false" ht="15" hidden="false" customHeight="false" outlineLevel="0" collapsed="false">
      <c r="A102" s="28" t="s">
        <v>688</v>
      </c>
      <c r="B102" s="28" t="s">
        <v>668</v>
      </c>
      <c r="C102" s="28" t="s">
        <v>136</v>
      </c>
      <c r="D102" s="28" t="s">
        <v>408</v>
      </c>
      <c r="E102" s="28" t="s">
        <v>551</v>
      </c>
      <c r="F102" s="28" t="s">
        <v>689</v>
      </c>
      <c r="G102" s="29" t="n">
        <v>61.5</v>
      </c>
      <c r="H102" s="28" t="s">
        <v>552</v>
      </c>
      <c r="I102" s="28" t="s">
        <v>349</v>
      </c>
      <c r="J102" s="28"/>
      <c r="K102" s="28" t="s">
        <v>350</v>
      </c>
      <c r="L102" s="28" t="s">
        <v>107</v>
      </c>
      <c r="M102" s="28" t="s">
        <v>428</v>
      </c>
      <c r="N102" s="28" t="s">
        <v>528</v>
      </c>
      <c r="O102" s="28" t="str">
        <f aca="true">IFERROR(IF(N102="","",DATEVALUE(TEXT(N102,"DD.MM.YYYY"))-TODAY()),"Tarih Yok")</f>
        <v>Tarih Yok</v>
      </c>
      <c r="P102" s="28" t="str">
        <f aca="true">IFERROR(IF(N102="","Tarih Yok",IF(DATEVALUE(TEXT(N102,"DD.MM.YYYY"))&lt;TODAY(),"GECİKMİŞ",IF(DATEVALUE(TEXT(N102,"DD.MM.YYYY"))-TODAY()&lt;=30,"30 GÜN İÇİNDE",IF(DATEVALUE(TEXT(N102,"DD.MM.YYYY"))-TODAY()&lt;=90,"90 GÜN İÇİNDE","Takvimdeyiz")))),"Tarih Kontrol")</f>
        <v>Tarih Kontrol</v>
      </c>
      <c r="Q102" s="28" t="s">
        <v>98</v>
      </c>
      <c r="R102" s="28"/>
      <c r="S102" s="28" t="s">
        <v>406</v>
      </c>
      <c r="T102" s="28" t="s">
        <v>35</v>
      </c>
    </row>
    <row r="103" customFormat="false" ht="15" hidden="false" customHeight="false" outlineLevel="0" collapsed="false">
      <c r="A103" s="28" t="s">
        <v>690</v>
      </c>
      <c r="B103" s="28" t="s">
        <v>668</v>
      </c>
      <c r="C103" s="28" t="s">
        <v>136</v>
      </c>
      <c r="D103" s="28" t="s">
        <v>413</v>
      </c>
      <c r="E103" s="28" t="s">
        <v>555</v>
      </c>
      <c r="F103" s="28" t="s">
        <v>669</v>
      </c>
      <c r="G103" s="29" t="n">
        <v>75</v>
      </c>
      <c r="H103" s="28" t="s">
        <v>556</v>
      </c>
      <c r="I103" s="28" t="s">
        <v>366</v>
      </c>
      <c r="J103" s="28"/>
      <c r="K103" s="28" t="s">
        <v>116</v>
      </c>
      <c r="L103" s="28" t="s">
        <v>368</v>
      </c>
      <c r="M103" s="28" t="s">
        <v>428</v>
      </c>
      <c r="N103" s="28" t="s">
        <v>557</v>
      </c>
      <c r="O103" s="28" t="str">
        <f aca="true">IFERROR(IF(N103="","",DATEVALUE(TEXT(N103,"DD.MM.YYYY"))-TODAY()),"Tarih Yok")</f>
        <v>Tarih Yok</v>
      </c>
      <c r="P103" s="28" t="str">
        <f aca="true">IFERROR(IF(N103="","Tarih Yok",IF(DATEVALUE(TEXT(N103,"DD.MM.YYYY"))&lt;TODAY(),"GECİKMİŞ",IF(DATEVALUE(TEXT(N103,"DD.MM.YYYY"))-TODAY()&lt;=30,"30 GÜN İÇİNDE",IF(DATEVALUE(TEXT(N103,"DD.MM.YYYY"))-TODAY()&lt;=90,"90 GÜN İÇİNDE","Takvimdeyiz")))),"Tarih Kontrol")</f>
        <v>Tarih Kontrol</v>
      </c>
      <c r="Q103" s="28" t="s">
        <v>98</v>
      </c>
      <c r="R103" s="28"/>
      <c r="S103" s="28" t="s">
        <v>558</v>
      </c>
      <c r="T103" s="28" t="s">
        <v>35</v>
      </c>
    </row>
    <row r="104" customFormat="false" ht="15" hidden="false" customHeight="false" outlineLevel="0" collapsed="false">
      <c r="A104" s="28" t="s">
        <v>691</v>
      </c>
      <c r="B104" s="28" t="s">
        <v>668</v>
      </c>
      <c r="C104" s="28" t="s">
        <v>136</v>
      </c>
      <c r="D104" s="28" t="s">
        <v>421</v>
      </c>
      <c r="E104" s="28" t="s">
        <v>561</v>
      </c>
      <c r="F104" s="28" t="s">
        <v>671</v>
      </c>
      <c r="G104" s="29" t="n">
        <v>75</v>
      </c>
      <c r="H104" s="28" t="s">
        <v>562</v>
      </c>
      <c r="I104" s="28" t="s">
        <v>366</v>
      </c>
      <c r="J104" s="28"/>
      <c r="K104" s="28" t="s">
        <v>116</v>
      </c>
      <c r="L104" s="28" t="s">
        <v>368</v>
      </c>
      <c r="M104" s="28" t="s">
        <v>428</v>
      </c>
      <c r="N104" s="28" t="s">
        <v>557</v>
      </c>
      <c r="O104" s="28" t="str">
        <f aca="true">IFERROR(IF(N104="","",DATEVALUE(TEXT(N104,"DD.MM.YYYY"))-TODAY()),"Tarih Yok")</f>
        <v>Tarih Yok</v>
      </c>
      <c r="P104" s="28" t="str">
        <f aca="true">IFERROR(IF(N104="","Tarih Yok",IF(DATEVALUE(TEXT(N104,"DD.MM.YYYY"))&lt;TODAY(),"GECİKMİŞ",IF(DATEVALUE(TEXT(N104,"DD.MM.YYYY"))-TODAY()&lt;=30,"30 GÜN İÇİNDE",IF(DATEVALUE(TEXT(N104,"DD.MM.YYYY"))-TODAY()&lt;=90,"90 GÜN İÇİNDE","Takvimdeyiz")))),"Tarih Kontrol")</f>
        <v>Tarih Kontrol</v>
      </c>
      <c r="Q104" s="28" t="s">
        <v>98</v>
      </c>
      <c r="R104" s="28"/>
      <c r="S104" s="28" t="s">
        <v>406</v>
      </c>
      <c r="T104" s="28" t="s">
        <v>35</v>
      </c>
    </row>
    <row r="105" customFormat="false" ht="15" hidden="false" customHeight="false" outlineLevel="0" collapsed="false">
      <c r="A105" s="28" t="s">
        <v>692</v>
      </c>
      <c r="B105" s="28" t="s">
        <v>668</v>
      </c>
      <c r="C105" s="28" t="s">
        <v>136</v>
      </c>
      <c r="D105" s="28" t="s">
        <v>425</v>
      </c>
      <c r="E105" s="28" t="s">
        <v>565</v>
      </c>
      <c r="F105" s="28" t="s">
        <v>673</v>
      </c>
      <c r="G105" s="29" t="n">
        <v>75</v>
      </c>
      <c r="H105" s="28" t="s">
        <v>562</v>
      </c>
      <c r="I105" s="28" t="s">
        <v>366</v>
      </c>
      <c r="J105" s="28"/>
      <c r="K105" s="28" t="s">
        <v>116</v>
      </c>
      <c r="L105" s="28" t="s">
        <v>368</v>
      </c>
      <c r="M105" s="28" t="s">
        <v>428</v>
      </c>
      <c r="N105" s="28" t="s">
        <v>557</v>
      </c>
      <c r="O105" s="28" t="str">
        <f aca="true">IFERROR(IF(N105="","",DATEVALUE(TEXT(N105,"DD.MM.YYYY"))-TODAY()),"Tarih Yok")</f>
        <v>Tarih Yok</v>
      </c>
      <c r="P105" s="28" t="str">
        <f aca="true">IFERROR(IF(N105="","Tarih Yok",IF(DATEVALUE(TEXT(N105,"DD.MM.YYYY"))&lt;TODAY(),"GECİKMİŞ",IF(DATEVALUE(TEXT(N105,"DD.MM.YYYY"))-TODAY()&lt;=30,"30 GÜN İÇİNDE",IF(DATEVALUE(TEXT(N105,"DD.MM.YYYY"))-TODAY()&lt;=90,"90 GÜN İÇİNDE","Takvimdeyiz")))),"Tarih Kontrol")</f>
        <v>Tarih Kontrol</v>
      </c>
      <c r="Q105" s="28" t="s">
        <v>98</v>
      </c>
      <c r="R105" s="28"/>
      <c r="S105" s="28" t="s">
        <v>406</v>
      </c>
      <c r="T105" s="28" t="s">
        <v>35</v>
      </c>
    </row>
    <row r="106" customFormat="false" ht="15" hidden="false" customHeight="false" outlineLevel="0" collapsed="false">
      <c r="A106" s="28" t="s">
        <v>693</v>
      </c>
      <c r="B106" s="28" t="s">
        <v>668</v>
      </c>
      <c r="C106" s="28" t="s">
        <v>136</v>
      </c>
      <c r="D106" s="28" t="s">
        <v>431</v>
      </c>
      <c r="E106" s="28" t="s">
        <v>568</v>
      </c>
      <c r="F106" s="28" t="s">
        <v>675</v>
      </c>
      <c r="G106" s="29" t="n">
        <v>75</v>
      </c>
      <c r="H106" s="28" t="s">
        <v>569</v>
      </c>
      <c r="I106" s="28" t="s">
        <v>366</v>
      </c>
      <c r="J106" s="28"/>
      <c r="K106" s="28" t="s">
        <v>116</v>
      </c>
      <c r="L106" s="28" t="s">
        <v>368</v>
      </c>
      <c r="M106" s="28" t="s">
        <v>428</v>
      </c>
      <c r="N106" s="28" t="s">
        <v>557</v>
      </c>
      <c r="O106" s="28" t="str">
        <f aca="true">IFERROR(IF(N106="","",DATEVALUE(TEXT(N106,"DD.MM.YYYY"))-TODAY()),"Tarih Yok")</f>
        <v>Tarih Yok</v>
      </c>
      <c r="P106" s="28" t="str">
        <f aca="true">IFERROR(IF(N106="","Tarih Yok",IF(DATEVALUE(TEXT(N106,"DD.MM.YYYY"))&lt;TODAY(),"GECİKMİŞ",IF(DATEVALUE(TEXT(N106,"DD.MM.YYYY"))-TODAY()&lt;=30,"30 GÜN İÇİNDE",IF(DATEVALUE(TEXT(N106,"DD.MM.YYYY"))-TODAY()&lt;=90,"90 GÜN İÇİNDE","Takvimdeyiz")))),"Tarih Kontrol")</f>
        <v>Tarih Kontrol</v>
      </c>
      <c r="Q106" s="28" t="s">
        <v>98</v>
      </c>
      <c r="R106" s="28"/>
      <c r="S106" s="28" t="s">
        <v>406</v>
      </c>
      <c r="T106" s="28" t="s">
        <v>35</v>
      </c>
    </row>
    <row r="107" customFormat="false" ht="15" hidden="false" customHeight="false" outlineLevel="0" collapsed="false">
      <c r="A107" s="28" t="s">
        <v>694</v>
      </c>
      <c r="B107" s="28" t="s">
        <v>695</v>
      </c>
      <c r="C107" s="28" t="s">
        <v>143</v>
      </c>
      <c r="D107" s="28" t="s">
        <v>345</v>
      </c>
      <c r="E107" s="28" t="s">
        <v>496</v>
      </c>
      <c r="F107" s="28"/>
      <c r="G107" s="29" t="n">
        <v>23</v>
      </c>
      <c r="H107" s="28" t="s">
        <v>497</v>
      </c>
      <c r="I107" s="28" t="s">
        <v>349</v>
      </c>
      <c r="J107" s="28"/>
      <c r="K107" s="28" t="s">
        <v>350</v>
      </c>
      <c r="L107" s="28" t="s">
        <v>107</v>
      </c>
      <c r="M107" s="28" t="s">
        <v>487</v>
      </c>
      <c r="N107" s="28" t="s">
        <v>498</v>
      </c>
      <c r="O107" s="28" t="str">
        <f aca="true">IFERROR(IF(N107="","",DATEVALUE(TEXT(N107,"DD.MM.YYYY"))-TODAY()),"Tarih Yok")</f>
        <v>Tarih Yok</v>
      </c>
      <c r="P107" s="28" t="str">
        <f aca="true">IFERROR(IF(N107="","Tarih Yok",IF(DATEVALUE(TEXT(N107,"DD.MM.YYYY"))&lt;TODAY(),"GECİKMİŞ",IF(DATEVALUE(TEXT(N107,"DD.MM.YYYY"))-TODAY()&lt;=30,"30 GÜN İÇİNDE",IF(DATEVALUE(TEXT(N107,"DD.MM.YYYY"))-TODAY()&lt;=90,"90 GÜN İÇİNDE","Takvimdeyiz")))),"Tarih Kontrol")</f>
        <v>Tarih Kontrol</v>
      </c>
      <c r="Q107" s="28" t="s">
        <v>98</v>
      </c>
      <c r="R107" s="28"/>
      <c r="S107" s="28" t="s">
        <v>11</v>
      </c>
      <c r="T107" s="28" t="s">
        <v>35</v>
      </c>
    </row>
    <row r="108" customFormat="false" ht="15" hidden="false" customHeight="false" outlineLevel="0" collapsed="false">
      <c r="A108" s="28" t="s">
        <v>696</v>
      </c>
      <c r="B108" s="28" t="s">
        <v>695</v>
      </c>
      <c r="C108" s="28" t="s">
        <v>143</v>
      </c>
      <c r="D108" s="28" t="s">
        <v>354</v>
      </c>
      <c r="E108" s="28" t="s">
        <v>501</v>
      </c>
      <c r="F108" s="28" t="s">
        <v>345</v>
      </c>
      <c r="G108" s="29" t="n">
        <v>60</v>
      </c>
      <c r="H108" s="28" t="s">
        <v>502</v>
      </c>
      <c r="I108" s="28" t="s">
        <v>366</v>
      </c>
      <c r="J108" s="28"/>
      <c r="K108" s="28" t="s">
        <v>350</v>
      </c>
      <c r="L108" s="28" t="s">
        <v>107</v>
      </c>
      <c r="M108" s="28" t="s">
        <v>417</v>
      </c>
      <c r="N108" s="28" t="s">
        <v>418</v>
      </c>
      <c r="O108" s="28" t="str">
        <f aca="true">IFERROR(IF(N108="","",DATEVALUE(TEXT(N108,"DD.MM.YYYY"))-TODAY()),"Tarih Yok")</f>
        <v>Tarih Yok</v>
      </c>
      <c r="P108" s="28" t="str">
        <f aca="true">IFERROR(IF(N108="","Tarih Yok",IF(DATEVALUE(TEXT(N108,"DD.MM.YYYY"))&lt;TODAY(),"GECİKMİŞ",IF(DATEVALUE(TEXT(N108,"DD.MM.YYYY"))-TODAY()&lt;=30,"30 GÜN İÇİNDE",IF(DATEVALUE(TEXT(N108,"DD.MM.YYYY"))-TODAY()&lt;=90,"90 GÜN İÇİNDE","Takvimdeyiz")))),"Tarih Kontrol")</f>
        <v>Tarih Kontrol</v>
      </c>
      <c r="Q108" s="28" t="s">
        <v>98</v>
      </c>
      <c r="R108" s="28"/>
      <c r="S108" s="28" t="s">
        <v>503</v>
      </c>
      <c r="T108" s="28" t="s">
        <v>35</v>
      </c>
    </row>
    <row r="109" customFormat="false" ht="15" hidden="false" customHeight="false" outlineLevel="0" collapsed="false">
      <c r="A109" s="28" t="s">
        <v>697</v>
      </c>
      <c r="B109" s="28" t="s">
        <v>695</v>
      </c>
      <c r="C109" s="28" t="s">
        <v>143</v>
      </c>
      <c r="D109" s="28" t="s">
        <v>362</v>
      </c>
      <c r="E109" s="28" t="s">
        <v>506</v>
      </c>
      <c r="F109" s="28" t="s">
        <v>354</v>
      </c>
      <c r="G109" s="29" t="n">
        <v>60</v>
      </c>
      <c r="H109" s="28" t="s">
        <v>502</v>
      </c>
      <c r="I109" s="28" t="s">
        <v>366</v>
      </c>
      <c r="J109" s="28"/>
      <c r="K109" s="28" t="s">
        <v>350</v>
      </c>
      <c r="L109" s="28" t="s">
        <v>107</v>
      </c>
      <c r="M109" s="28" t="s">
        <v>417</v>
      </c>
      <c r="N109" s="28" t="s">
        <v>418</v>
      </c>
      <c r="O109" s="28" t="str">
        <f aca="true">IFERROR(IF(N109="","",DATEVALUE(TEXT(N109,"DD.MM.YYYY"))-TODAY()),"Tarih Yok")</f>
        <v>Tarih Yok</v>
      </c>
      <c r="P109" s="28" t="str">
        <f aca="true">IFERROR(IF(N109="","Tarih Yok",IF(DATEVALUE(TEXT(N109,"DD.MM.YYYY"))&lt;TODAY(),"GECİKMİŞ",IF(DATEVALUE(TEXT(N109,"DD.MM.YYYY"))-TODAY()&lt;=30,"30 GÜN İÇİNDE",IF(DATEVALUE(TEXT(N109,"DD.MM.YYYY"))-TODAY()&lt;=90,"90 GÜN İÇİNDE","Takvimdeyiz")))),"Tarih Kontrol")</f>
        <v>Tarih Kontrol</v>
      </c>
      <c r="Q109" s="28" t="s">
        <v>98</v>
      </c>
      <c r="R109" s="28"/>
      <c r="S109" s="28" t="s">
        <v>503</v>
      </c>
      <c r="T109" s="28" t="s">
        <v>35</v>
      </c>
    </row>
    <row r="110" customFormat="false" ht="15" hidden="false" customHeight="false" outlineLevel="0" collapsed="false">
      <c r="A110" s="28" t="s">
        <v>698</v>
      </c>
      <c r="B110" s="28" t="s">
        <v>699</v>
      </c>
      <c r="C110" s="28" t="s">
        <v>150</v>
      </c>
      <c r="D110" s="28" t="s">
        <v>345</v>
      </c>
      <c r="E110" s="28" t="s">
        <v>572</v>
      </c>
      <c r="F110" s="28"/>
      <c r="G110" s="29" t="n">
        <v>40</v>
      </c>
      <c r="H110" s="28" t="s">
        <v>573</v>
      </c>
      <c r="I110" s="28" t="s">
        <v>349</v>
      </c>
      <c r="J110" s="28"/>
      <c r="K110" s="28" t="s">
        <v>574</v>
      </c>
      <c r="L110" s="28" t="s">
        <v>107</v>
      </c>
      <c r="M110" s="28" t="s">
        <v>700</v>
      </c>
      <c r="N110" s="28" t="s">
        <v>498</v>
      </c>
      <c r="O110" s="28" t="str">
        <f aca="true">IFERROR(IF(N110="","",DATEVALUE(TEXT(N110,"DD.MM.YYYY"))-TODAY()),"Tarih Yok")</f>
        <v>Tarih Yok</v>
      </c>
      <c r="P110" s="28" t="str">
        <f aca="true">IFERROR(IF(N110="","Tarih Yok",IF(DATEVALUE(TEXT(N110,"DD.MM.YYYY"))&lt;TODAY(),"GECİKMİŞ",IF(DATEVALUE(TEXT(N110,"DD.MM.YYYY"))-TODAY()&lt;=30,"30 GÜN İÇİNDE",IF(DATEVALUE(TEXT(N110,"DD.MM.YYYY"))-TODAY()&lt;=90,"90 GÜN İÇİNDE","Takvimdeyiz")))),"Tarih Kontrol")</f>
        <v>Tarih Kontrol</v>
      </c>
      <c r="Q110" s="28" t="s">
        <v>98</v>
      </c>
      <c r="R110" s="28"/>
      <c r="S110" s="28" t="s">
        <v>11</v>
      </c>
      <c r="T110" s="28" t="s">
        <v>35</v>
      </c>
    </row>
    <row r="111" customFormat="false" ht="15" hidden="false" customHeight="false" outlineLevel="0" collapsed="false">
      <c r="A111" s="28" t="s">
        <v>701</v>
      </c>
      <c r="B111" s="28" t="s">
        <v>699</v>
      </c>
      <c r="C111" s="28" t="s">
        <v>150</v>
      </c>
      <c r="D111" s="28" t="s">
        <v>354</v>
      </c>
      <c r="E111" s="28" t="s">
        <v>578</v>
      </c>
      <c r="F111" s="28" t="s">
        <v>579</v>
      </c>
      <c r="G111" s="29" t="n">
        <v>4</v>
      </c>
      <c r="H111" s="28" t="s">
        <v>580</v>
      </c>
      <c r="I111" s="28" t="s">
        <v>349</v>
      </c>
      <c r="J111" s="28"/>
      <c r="K111" s="28" t="s">
        <v>581</v>
      </c>
      <c r="L111" s="28" t="s">
        <v>107</v>
      </c>
      <c r="M111" s="28" t="s">
        <v>700</v>
      </c>
      <c r="N111" s="28" t="s">
        <v>498</v>
      </c>
      <c r="O111" s="28" t="str">
        <f aca="true">IFERROR(IF(N111="","",DATEVALUE(TEXT(N111,"DD.MM.YYYY"))-TODAY()),"Tarih Yok")</f>
        <v>Tarih Yok</v>
      </c>
      <c r="P111" s="28" t="str">
        <f aca="true">IFERROR(IF(N111="","Tarih Yok",IF(DATEVALUE(TEXT(N111,"DD.MM.YYYY"))&lt;TODAY(),"GECİKMİŞ",IF(DATEVALUE(TEXT(N111,"DD.MM.YYYY"))-TODAY()&lt;=30,"30 GÜN İÇİNDE",IF(DATEVALUE(TEXT(N111,"DD.MM.YYYY"))-TODAY()&lt;=90,"90 GÜN İÇİNDE","Takvimdeyiz")))),"Tarih Kontrol")</f>
        <v>Tarih Kontrol</v>
      </c>
      <c r="Q111" s="28" t="s">
        <v>98</v>
      </c>
      <c r="R111" s="28"/>
      <c r="S111" s="28" t="s">
        <v>11</v>
      </c>
      <c r="T111" s="28" t="s">
        <v>35</v>
      </c>
    </row>
    <row r="112" customFormat="false" ht="15" hidden="false" customHeight="false" outlineLevel="0" collapsed="false">
      <c r="A112" s="28" t="s">
        <v>702</v>
      </c>
      <c r="B112" s="28" t="s">
        <v>699</v>
      </c>
      <c r="C112" s="28" t="s">
        <v>150</v>
      </c>
      <c r="D112" s="28" t="s">
        <v>362</v>
      </c>
      <c r="E112" s="28" t="s">
        <v>584</v>
      </c>
      <c r="F112" s="28"/>
      <c r="G112" s="29" t="n">
        <v>4</v>
      </c>
      <c r="H112" s="28" t="s">
        <v>585</v>
      </c>
      <c r="I112" s="28" t="s">
        <v>349</v>
      </c>
      <c r="J112" s="28"/>
      <c r="K112" s="28" t="s">
        <v>586</v>
      </c>
      <c r="L112" s="28" t="s">
        <v>107</v>
      </c>
      <c r="M112" s="28" t="s">
        <v>700</v>
      </c>
      <c r="N112" s="28" t="s">
        <v>498</v>
      </c>
      <c r="O112" s="28" t="str">
        <f aca="true">IFERROR(IF(N112="","",DATEVALUE(TEXT(N112,"DD.MM.YYYY"))-TODAY()),"Tarih Yok")</f>
        <v>Tarih Yok</v>
      </c>
      <c r="P112" s="28" t="str">
        <f aca="true">IFERROR(IF(N112="","Tarih Yok",IF(DATEVALUE(TEXT(N112,"DD.MM.YYYY"))&lt;TODAY(),"GECİKMİŞ",IF(DATEVALUE(TEXT(N112,"DD.MM.YYYY"))-TODAY()&lt;=30,"30 GÜN İÇİNDE",IF(DATEVALUE(TEXT(N112,"DD.MM.YYYY"))-TODAY()&lt;=90,"90 GÜN İÇİNDE","Takvimdeyiz")))),"Tarih Kontrol")</f>
        <v>Tarih Kontrol</v>
      </c>
      <c r="Q112" s="28" t="s">
        <v>98</v>
      </c>
      <c r="R112" s="28"/>
      <c r="S112" s="28" t="s">
        <v>11</v>
      </c>
      <c r="T112" s="28" t="s">
        <v>35</v>
      </c>
    </row>
    <row r="113" customFormat="false" ht="15" hidden="false" customHeight="false" outlineLevel="0" collapsed="false">
      <c r="A113" s="28" t="s">
        <v>703</v>
      </c>
      <c r="B113" s="28" t="s">
        <v>699</v>
      </c>
      <c r="C113" s="28" t="s">
        <v>150</v>
      </c>
      <c r="D113" s="28" t="s">
        <v>373</v>
      </c>
      <c r="E113" s="28" t="s">
        <v>596</v>
      </c>
      <c r="F113" s="28" t="s">
        <v>597</v>
      </c>
      <c r="G113" s="29" t="n">
        <v>4</v>
      </c>
      <c r="H113" s="28" t="s">
        <v>580</v>
      </c>
      <c r="I113" s="28" t="s">
        <v>349</v>
      </c>
      <c r="J113" s="28"/>
      <c r="K113" s="28" t="s">
        <v>581</v>
      </c>
      <c r="L113" s="28" t="s">
        <v>107</v>
      </c>
      <c r="M113" s="28" t="s">
        <v>638</v>
      </c>
      <c r="N113" s="28" t="s">
        <v>638</v>
      </c>
      <c r="O113" s="28" t="str">
        <f aca="true">IFERROR(IF(N113="","",DATEVALUE(TEXT(N113,"DD.MM.YYYY"))-TODAY()),"Tarih Yok")</f>
        <v>Tarih Yok</v>
      </c>
      <c r="P113" s="28" t="str">
        <f aca="true">IFERROR(IF(N113="","Tarih Yok",IF(DATEVALUE(TEXT(N113,"DD.MM.YYYY"))&lt;TODAY(),"GECİKMİŞ",IF(DATEVALUE(TEXT(N113,"DD.MM.YYYY"))-TODAY()&lt;=30,"30 GÜN İÇİNDE",IF(DATEVALUE(TEXT(N113,"DD.MM.YYYY"))-TODAY()&lt;=90,"90 GÜN İÇİNDE","Takvimdeyiz")))),"Tarih Kontrol")</f>
        <v>Tarih Kontrol</v>
      </c>
      <c r="Q113" s="28"/>
      <c r="R113" s="28"/>
      <c r="S113" s="28" t="s">
        <v>598</v>
      </c>
      <c r="T113" s="28" t="s">
        <v>35</v>
      </c>
    </row>
    <row r="114" customFormat="false" ht="15" hidden="false" customHeight="false" outlineLevel="0" collapsed="false">
      <c r="A114" s="28" t="s">
        <v>704</v>
      </c>
      <c r="B114" s="28" t="s">
        <v>699</v>
      </c>
      <c r="C114" s="28" t="s">
        <v>150</v>
      </c>
      <c r="D114" s="28" t="s">
        <v>379</v>
      </c>
      <c r="E114" s="28" t="s">
        <v>601</v>
      </c>
      <c r="F114" s="28" t="s">
        <v>602</v>
      </c>
      <c r="G114" s="29" t="n">
        <v>4</v>
      </c>
      <c r="H114" s="28" t="s">
        <v>580</v>
      </c>
      <c r="I114" s="28" t="s">
        <v>349</v>
      </c>
      <c r="J114" s="28"/>
      <c r="K114" s="28" t="s">
        <v>581</v>
      </c>
      <c r="L114" s="28" t="s">
        <v>107</v>
      </c>
      <c r="M114" s="28" t="s">
        <v>638</v>
      </c>
      <c r="N114" s="28" t="s">
        <v>638</v>
      </c>
      <c r="O114" s="28" t="str">
        <f aca="true">IFERROR(IF(N114="","",DATEVALUE(TEXT(N114,"DD.MM.YYYY"))-TODAY()),"Tarih Yok")</f>
        <v>Tarih Yok</v>
      </c>
      <c r="P114" s="28" t="str">
        <f aca="true">IFERROR(IF(N114="","Tarih Yok",IF(DATEVALUE(TEXT(N114,"DD.MM.YYYY"))&lt;TODAY(),"GECİKMİŞ",IF(DATEVALUE(TEXT(N114,"DD.MM.YYYY"))-TODAY()&lt;=30,"30 GÜN İÇİNDE",IF(DATEVALUE(TEXT(N114,"DD.MM.YYYY"))-TODAY()&lt;=90,"90 GÜN İÇİNDE","Takvimdeyiz")))),"Tarih Kontrol")</f>
        <v>Tarih Kontrol</v>
      </c>
      <c r="Q114" s="28"/>
      <c r="R114" s="28"/>
      <c r="S114" s="28" t="s">
        <v>598</v>
      </c>
      <c r="T114" s="28" t="s">
        <v>35</v>
      </c>
    </row>
    <row r="115" customFormat="false" ht="15" hidden="false" customHeight="false" outlineLevel="0" collapsed="false">
      <c r="A115" s="28" t="s">
        <v>705</v>
      </c>
      <c r="B115" s="28" t="s">
        <v>699</v>
      </c>
      <c r="C115" s="28" t="s">
        <v>150</v>
      </c>
      <c r="D115" s="28" t="s">
        <v>383</v>
      </c>
      <c r="E115" s="28" t="s">
        <v>605</v>
      </c>
      <c r="F115" s="28" t="s">
        <v>606</v>
      </c>
      <c r="G115" s="29" t="n">
        <v>4</v>
      </c>
      <c r="H115" s="28" t="s">
        <v>580</v>
      </c>
      <c r="I115" s="28" t="s">
        <v>349</v>
      </c>
      <c r="J115" s="28"/>
      <c r="K115" s="28" t="s">
        <v>581</v>
      </c>
      <c r="L115" s="28" t="s">
        <v>107</v>
      </c>
      <c r="M115" s="28" t="s">
        <v>638</v>
      </c>
      <c r="N115" s="28" t="s">
        <v>638</v>
      </c>
      <c r="O115" s="28" t="str">
        <f aca="true">IFERROR(IF(N115="","",DATEVALUE(TEXT(N115,"DD.MM.YYYY"))-TODAY()),"Tarih Yok")</f>
        <v>Tarih Yok</v>
      </c>
      <c r="P115" s="28" t="str">
        <f aca="true">IFERROR(IF(N115="","Tarih Yok",IF(DATEVALUE(TEXT(N115,"DD.MM.YYYY"))&lt;TODAY(),"GECİKMİŞ",IF(DATEVALUE(TEXT(N115,"DD.MM.YYYY"))-TODAY()&lt;=30,"30 GÜN İÇİNDE",IF(DATEVALUE(TEXT(N115,"DD.MM.YYYY"))-TODAY()&lt;=90,"90 GÜN İÇİNDE","Takvimdeyiz")))),"Tarih Kontrol")</f>
        <v>Tarih Kontrol</v>
      </c>
      <c r="Q115" s="28"/>
      <c r="R115" s="28"/>
      <c r="S115" s="28" t="s">
        <v>598</v>
      </c>
      <c r="T115" s="28" t="s">
        <v>35</v>
      </c>
    </row>
    <row r="116" customFormat="false" ht="15" hidden="false" customHeight="false" outlineLevel="0" collapsed="false">
      <c r="A116" s="28" t="s">
        <v>706</v>
      </c>
      <c r="B116" s="28" t="s">
        <v>699</v>
      </c>
      <c r="C116" s="28" t="s">
        <v>150</v>
      </c>
      <c r="D116" s="28" t="s">
        <v>389</v>
      </c>
      <c r="E116" s="28" t="s">
        <v>609</v>
      </c>
      <c r="F116" s="28" t="s">
        <v>610</v>
      </c>
      <c r="G116" s="29" t="n">
        <v>4</v>
      </c>
      <c r="H116" s="28" t="s">
        <v>580</v>
      </c>
      <c r="I116" s="28" t="s">
        <v>349</v>
      </c>
      <c r="J116" s="28"/>
      <c r="K116" s="28" t="s">
        <v>581</v>
      </c>
      <c r="L116" s="28" t="s">
        <v>107</v>
      </c>
      <c r="M116" s="28" t="s">
        <v>638</v>
      </c>
      <c r="N116" s="28" t="s">
        <v>638</v>
      </c>
      <c r="O116" s="28" t="str">
        <f aca="true">IFERROR(IF(N116="","",DATEVALUE(TEXT(N116,"DD.MM.YYYY"))-TODAY()),"Tarih Yok")</f>
        <v>Tarih Yok</v>
      </c>
      <c r="P116" s="28" t="str">
        <f aca="true">IFERROR(IF(N116="","Tarih Yok",IF(DATEVALUE(TEXT(N116,"DD.MM.YYYY"))&lt;TODAY(),"GECİKMİŞ",IF(DATEVALUE(TEXT(N116,"DD.MM.YYYY"))-TODAY()&lt;=30,"30 GÜN İÇİNDE",IF(DATEVALUE(TEXT(N116,"DD.MM.YYYY"))-TODAY()&lt;=90,"90 GÜN İÇİNDE","Takvimdeyiz")))),"Tarih Kontrol")</f>
        <v>Tarih Kontrol</v>
      </c>
      <c r="Q116" s="28"/>
      <c r="R116" s="28"/>
      <c r="S116" s="28" t="s">
        <v>598</v>
      </c>
      <c r="T116" s="28" t="s">
        <v>35</v>
      </c>
    </row>
    <row r="117" customFormat="false" ht="15" hidden="false" customHeight="false" outlineLevel="0" collapsed="false">
      <c r="A117" s="28" t="s">
        <v>707</v>
      </c>
      <c r="B117" s="28" t="s">
        <v>699</v>
      </c>
      <c r="C117" s="28" t="s">
        <v>150</v>
      </c>
      <c r="D117" s="28" t="s">
        <v>393</v>
      </c>
      <c r="E117" s="28" t="s">
        <v>613</v>
      </c>
      <c r="F117" s="28" t="s">
        <v>614</v>
      </c>
      <c r="G117" s="29" t="n">
        <v>4</v>
      </c>
      <c r="H117" s="28" t="s">
        <v>580</v>
      </c>
      <c r="I117" s="28" t="s">
        <v>349</v>
      </c>
      <c r="J117" s="28"/>
      <c r="K117" s="28" t="s">
        <v>581</v>
      </c>
      <c r="L117" s="28" t="s">
        <v>107</v>
      </c>
      <c r="M117" s="28" t="s">
        <v>638</v>
      </c>
      <c r="N117" s="28" t="s">
        <v>638</v>
      </c>
      <c r="O117" s="28" t="str">
        <f aca="true">IFERROR(IF(N117="","",DATEVALUE(TEXT(N117,"DD.MM.YYYY"))-TODAY()),"Tarih Yok")</f>
        <v>Tarih Yok</v>
      </c>
      <c r="P117" s="28" t="str">
        <f aca="true">IFERROR(IF(N117="","Tarih Yok",IF(DATEVALUE(TEXT(N117,"DD.MM.YYYY"))&lt;TODAY(),"GECİKMİŞ",IF(DATEVALUE(TEXT(N117,"DD.MM.YYYY"))-TODAY()&lt;=30,"30 GÜN İÇİNDE",IF(DATEVALUE(TEXT(N117,"DD.MM.YYYY"))-TODAY()&lt;=90,"90 GÜN İÇİNDE","Takvimdeyiz")))),"Tarih Kontrol")</f>
        <v>Tarih Kontrol</v>
      </c>
      <c r="Q117" s="28"/>
      <c r="R117" s="28"/>
      <c r="S117" s="28" t="s">
        <v>598</v>
      </c>
      <c r="T117" s="28" t="s">
        <v>35</v>
      </c>
    </row>
    <row r="118" customFormat="false" ht="15" hidden="false" customHeight="false" outlineLevel="0" collapsed="false">
      <c r="A118" s="28" t="s">
        <v>708</v>
      </c>
      <c r="B118" s="28" t="s">
        <v>699</v>
      </c>
      <c r="C118" s="28" t="s">
        <v>150</v>
      </c>
      <c r="D118" s="28" t="s">
        <v>397</v>
      </c>
      <c r="E118" s="28" t="s">
        <v>414</v>
      </c>
      <c r="F118" s="28" t="s">
        <v>415</v>
      </c>
      <c r="G118" s="29" t="n">
        <v>400</v>
      </c>
      <c r="H118" s="28" t="s">
        <v>416</v>
      </c>
      <c r="I118" s="28" t="s">
        <v>366</v>
      </c>
      <c r="J118" s="28"/>
      <c r="K118" s="28" t="s">
        <v>367</v>
      </c>
      <c r="L118" s="28" t="s">
        <v>368</v>
      </c>
      <c r="M118" s="28" t="s">
        <v>417</v>
      </c>
      <c r="N118" s="28" t="s">
        <v>418</v>
      </c>
      <c r="O118" s="28" t="str">
        <f aca="true">IFERROR(IF(N118="","",DATEVALUE(TEXT(N118,"DD.MM.YYYY"))-TODAY()),"Tarih Yok")</f>
        <v>Tarih Yok</v>
      </c>
      <c r="P118" s="28" t="str">
        <f aca="true">IFERROR(IF(N118="","Tarih Yok",IF(DATEVALUE(TEXT(N118,"DD.MM.YYYY"))&lt;TODAY(),"GECİKMİŞ",IF(DATEVALUE(TEXT(N118,"DD.MM.YYYY"))-TODAY()&lt;=30,"30 GÜN İÇİNDE",IF(DATEVALUE(TEXT(N118,"DD.MM.YYYY"))-TODAY()&lt;=90,"90 GÜN İÇİNDE","Takvimdeyiz")))),"Tarih Kontrol")</f>
        <v>Tarih Kontrol</v>
      </c>
      <c r="Q118" s="28" t="s">
        <v>98</v>
      </c>
      <c r="R118" s="28"/>
      <c r="S118" s="28" t="s">
        <v>419</v>
      </c>
      <c r="T118" s="28" t="s">
        <v>35</v>
      </c>
    </row>
    <row r="119" customFormat="false" ht="15" hidden="false" customHeight="false" outlineLevel="0" collapsed="false">
      <c r="A119" s="28" t="s">
        <v>709</v>
      </c>
      <c r="B119" s="28" t="s">
        <v>154</v>
      </c>
      <c r="C119" s="28" t="s">
        <v>160</v>
      </c>
      <c r="D119" s="28" t="s">
        <v>669</v>
      </c>
      <c r="E119" s="28" t="s">
        <v>710</v>
      </c>
      <c r="F119" s="28"/>
      <c r="G119" s="29" t="n">
        <v>110</v>
      </c>
      <c r="H119" s="28" t="s">
        <v>711</v>
      </c>
      <c r="I119" s="28"/>
      <c r="J119" s="28" t="s">
        <v>712</v>
      </c>
      <c r="K119" s="28" t="s">
        <v>138</v>
      </c>
      <c r="L119" s="28" t="s">
        <v>107</v>
      </c>
      <c r="M119" s="28" t="s">
        <v>713</v>
      </c>
      <c r="N119" s="28"/>
      <c r="O119" s="28" t="str">
        <f aca="true">IFERROR(IF(N119="","",DATEVALUE(TEXT(N119,"DD.MM.YYYY"))-TODAY()),"Tarih Yok")</f>
        <v/>
      </c>
      <c r="P119" s="28" t="str">
        <f aca="true">IFERROR(IF(N119="","Tarih Yok",IF(DATEVALUE(TEXT(N119,"DD.MM.YYYY"))&lt;TODAY(),"GECİKMİŞ",IF(DATEVALUE(TEXT(N119,"DD.MM.YYYY"))-TODAY()&lt;=30,"30 GÜN İÇİNDE",IF(DATEVALUE(TEXT(N119,"DD.MM.YYYY"))-TODAY()&lt;=90,"90 GÜN İÇİNDE","Takvimdeyiz")))),"Tarih Kontrol")</f>
        <v>Tarih Yok</v>
      </c>
      <c r="Q119" s="28"/>
      <c r="R119" s="28" t="s">
        <v>714</v>
      </c>
      <c r="S119" s="28"/>
      <c r="T119" s="28" t="s">
        <v>35</v>
      </c>
    </row>
    <row r="120" customFormat="false" ht="15" hidden="false" customHeight="false" outlineLevel="0" collapsed="false">
      <c r="A120" s="28" t="s">
        <v>715</v>
      </c>
      <c r="B120" s="28" t="s">
        <v>154</v>
      </c>
      <c r="C120" s="28" t="s">
        <v>160</v>
      </c>
      <c r="D120" s="28" t="s">
        <v>671</v>
      </c>
      <c r="E120" s="28" t="s">
        <v>716</v>
      </c>
      <c r="F120" s="28"/>
      <c r="G120" s="29" t="n">
        <v>110</v>
      </c>
      <c r="H120" s="28" t="s">
        <v>717</v>
      </c>
      <c r="I120" s="28"/>
      <c r="J120" s="28" t="s">
        <v>712</v>
      </c>
      <c r="K120" s="28" t="s">
        <v>138</v>
      </c>
      <c r="L120" s="28" t="s">
        <v>107</v>
      </c>
      <c r="M120" s="28" t="s">
        <v>713</v>
      </c>
      <c r="N120" s="28"/>
      <c r="O120" s="28" t="str">
        <f aca="true">IFERROR(IF(N120="","",DATEVALUE(TEXT(N120,"DD.MM.YYYY"))-TODAY()),"Tarih Yok")</f>
        <v/>
      </c>
      <c r="P120" s="28" t="str">
        <f aca="true">IFERROR(IF(N120="","Tarih Yok",IF(DATEVALUE(TEXT(N120,"DD.MM.YYYY"))&lt;TODAY(),"GECİKMİŞ",IF(DATEVALUE(TEXT(N120,"DD.MM.YYYY"))-TODAY()&lt;=30,"30 GÜN İÇİNDE",IF(DATEVALUE(TEXT(N120,"DD.MM.YYYY"))-TODAY()&lt;=90,"90 GÜN İÇİNDE","Takvimdeyiz")))),"Tarih Kontrol")</f>
        <v>Tarih Yok</v>
      </c>
      <c r="Q120" s="28"/>
      <c r="R120" s="28" t="s">
        <v>718</v>
      </c>
      <c r="S120" s="28"/>
      <c r="T120" s="28" t="s">
        <v>35</v>
      </c>
    </row>
    <row r="121" customFormat="false" ht="15" hidden="false" customHeight="false" outlineLevel="0" collapsed="false">
      <c r="A121" s="28" t="s">
        <v>719</v>
      </c>
      <c r="B121" s="28" t="s">
        <v>154</v>
      </c>
      <c r="C121" s="28" t="s">
        <v>160</v>
      </c>
      <c r="D121" s="28" t="s">
        <v>673</v>
      </c>
      <c r="E121" s="28" t="s">
        <v>720</v>
      </c>
      <c r="F121" s="28"/>
      <c r="G121" s="29" t="n">
        <v>110</v>
      </c>
      <c r="H121" s="28" t="s">
        <v>721</v>
      </c>
      <c r="I121" s="28"/>
      <c r="J121" s="28" t="s">
        <v>712</v>
      </c>
      <c r="K121" s="28" t="s">
        <v>138</v>
      </c>
      <c r="L121" s="28" t="s">
        <v>107</v>
      </c>
      <c r="M121" s="28" t="s">
        <v>713</v>
      </c>
      <c r="N121" s="28"/>
      <c r="O121" s="28" t="str">
        <f aca="true">IFERROR(IF(N121="","",DATEVALUE(TEXT(N121,"DD.MM.YYYY"))-TODAY()),"Tarih Yok")</f>
        <v/>
      </c>
      <c r="P121" s="28" t="str">
        <f aca="true">IFERROR(IF(N121="","Tarih Yok",IF(DATEVALUE(TEXT(N121,"DD.MM.YYYY"))&lt;TODAY(),"GECİKMİŞ",IF(DATEVALUE(TEXT(N121,"DD.MM.YYYY"))-TODAY()&lt;=30,"30 GÜN İÇİNDE",IF(DATEVALUE(TEXT(N121,"DD.MM.YYYY"))-TODAY()&lt;=90,"90 GÜN İÇİNDE","Takvimdeyiz")))),"Tarih Kontrol")</f>
        <v>Tarih Yok</v>
      </c>
      <c r="Q121" s="28"/>
      <c r="R121" s="28" t="s">
        <v>722</v>
      </c>
      <c r="S121" s="28"/>
      <c r="T121" s="28" t="s">
        <v>35</v>
      </c>
    </row>
    <row r="122" customFormat="false" ht="15" hidden="false" customHeight="false" outlineLevel="0" collapsed="false">
      <c r="A122" s="28" t="s">
        <v>723</v>
      </c>
      <c r="B122" s="28" t="s">
        <v>154</v>
      </c>
      <c r="C122" s="28" t="s">
        <v>160</v>
      </c>
      <c r="D122" s="28" t="s">
        <v>675</v>
      </c>
      <c r="E122" s="28" t="s">
        <v>724</v>
      </c>
      <c r="F122" s="28"/>
      <c r="G122" s="29" t="n">
        <v>110</v>
      </c>
      <c r="H122" s="28" t="s">
        <v>725</v>
      </c>
      <c r="I122" s="28"/>
      <c r="J122" s="28" t="s">
        <v>712</v>
      </c>
      <c r="K122" s="28" t="s">
        <v>138</v>
      </c>
      <c r="L122" s="28" t="s">
        <v>107</v>
      </c>
      <c r="M122" s="28" t="s">
        <v>713</v>
      </c>
      <c r="N122" s="28"/>
      <c r="O122" s="28" t="str">
        <f aca="true">IFERROR(IF(N122="","",DATEVALUE(TEXT(N122,"DD.MM.YYYY"))-TODAY()),"Tarih Yok")</f>
        <v/>
      </c>
      <c r="P122" s="28" t="str">
        <f aca="true">IFERROR(IF(N122="","Tarih Yok",IF(DATEVALUE(TEXT(N122,"DD.MM.YYYY"))&lt;TODAY(),"GECİKMİŞ",IF(DATEVALUE(TEXT(N122,"DD.MM.YYYY"))-TODAY()&lt;=30,"30 GÜN İÇİNDE",IF(DATEVALUE(TEXT(N122,"DD.MM.YYYY"))-TODAY()&lt;=90,"90 GÜN İÇİNDE","Takvimdeyiz")))),"Tarih Kontrol")</f>
        <v>Tarih Yok</v>
      </c>
      <c r="Q122" s="28"/>
      <c r="R122" s="28" t="s">
        <v>726</v>
      </c>
      <c r="S122" s="28"/>
      <c r="T122" s="28" t="s">
        <v>35</v>
      </c>
    </row>
    <row r="123" customFormat="false" ht="15" hidden="false" customHeight="false" outlineLevel="0" collapsed="false">
      <c r="A123" s="28" t="s">
        <v>727</v>
      </c>
      <c r="B123" s="28" t="s">
        <v>154</v>
      </c>
      <c r="C123" s="28" t="s">
        <v>160</v>
      </c>
      <c r="D123" s="28" t="s">
        <v>728</v>
      </c>
      <c r="E123" s="28" t="s">
        <v>729</v>
      </c>
      <c r="F123" s="28"/>
      <c r="G123" s="29" t="n">
        <v>110</v>
      </c>
      <c r="H123" s="28" t="s">
        <v>725</v>
      </c>
      <c r="I123" s="28"/>
      <c r="J123" s="28" t="s">
        <v>712</v>
      </c>
      <c r="K123" s="28" t="s">
        <v>138</v>
      </c>
      <c r="L123" s="28" t="s">
        <v>107</v>
      </c>
      <c r="M123" s="28"/>
      <c r="N123" s="28"/>
      <c r="O123" s="28" t="str">
        <f aca="true">IFERROR(IF(N123="","",DATEVALUE(TEXT(N123,"DD.MM.YYYY"))-TODAY()),"Tarih Yok")</f>
        <v/>
      </c>
      <c r="P123" s="28" t="str">
        <f aca="true">IFERROR(IF(N123="","Tarih Yok",IF(DATEVALUE(TEXT(N123,"DD.MM.YYYY"))&lt;TODAY(),"GECİKMİŞ",IF(DATEVALUE(TEXT(N123,"DD.MM.YYYY"))-TODAY()&lt;=30,"30 GÜN İÇİNDE",IF(DATEVALUE(TEXT(N123,"DD.MM.YYYY"))-TODAY()&lt;=90,"90 GÜN İÇİNDE","Takvimdeyiz")))),"Tarih Kontrol")</f>
        <v>Tarih Yok</v>
      </c>
      <c r="Q123" s="28"/>
      <c r="R123" s="28"/>
      <c r="S123" s="28"/>
      <c r="T123" s="28" t="s">
        <v>35</v>
      </c>
    </row>
    <row r="124" customFormat="false" ht="15" hidden="false" customHeight="false" outlineLevel="0" collapsed="false">
      <c r="A124" s="28" t="s">
        <v>730</v>
      </c>
      <c r="B124" s="28" t="s">
        <v>154</v>
      </c>
      <c r="C124" s="28" t="s">
        <v>160</v>
      </c>
      <c r="D124" s="28" t="s">
        <v>731</v>
      </c>
      <c r="E124" s="28" t="s">
        <v>732</v>
      </c>
      <c r="F124" s="28"/>
      <c r="G124" s="29" t="n">
        <v>110</v>
      </c>
      <c r="H124" s="28" t="s">
        <v>725</v>
      </c>
      <c r="I124" s="28"/>
      <c r="J124" s="28" t="s">
        <v>712</v>
      </c>
      <c r="K124" s="28" t="s">
        <v>138</v>
      </c>
      <c r="L124" s="28" t="s">
        <v>107</v>
      </c>
      <c r="M124" s="28"/>
      <c r="N124" s="28"/>
      <c r="O124" s="28" t="str">
        <f aca="true">IFERROR(IF(N124="","",DATEVALUE(TEXT(N124,"DD.MM.YYYY"))-TODAY()),"Tarih Yok")</f>
        <v/>
      </c>
      <c r="P124" s="28" t="str">
        <f aca="true">IFERROR(IF(N124="","Tarih Yok",IF(DATEVALUE(TEXT(N124,"DD.MM.YYYY"))&lt;TODAY(),"GECİKMİŞ",IF(DATEVALUE(TEXT(N124,"DD.MM.YYYY"))-TODAY()&lt;=30,"30 GÜN İÇİNDE",IF(DATEVALUE(TEXT(N124,"DD.MM.YYYY"))-TODAY()&lt;=90,"90 GÜN İÇİNDE","Takvimdeyiz")))),"Tarih Kontrol")</f>
        <v>Tarih Yok</v>
      </c>
      <c r="Q124" s="28"/>
      <c r="R124" s="28"/>
      <c r="S124" s="28"/>
      <c r="T124" s="28" t="s">
        <v>35</v>
      </c>
    </row>
    <row r="125" customFormat="false" ht="15" hidden="false" customHeight="false" outlineLevel="0" collapsed="false">
      <c r="A125" s="28" t="s">
        <v>733</v>
      </c>
      <c r="B125" s="28" t="s">
        <v>154</v>
      </c>
      <c r="C125" s="28" t="s">
        <v>160</v>
      </c>
      <c r="D125" s="28" t="s">
        <v>734</v>
      </c>
      <c r="E125" s="28" t="s">
        <v>735</v>
      </c>
      <c r="F125" s="28"/>
      <c r="G125" s="29" t="n">
        <v>500</v>
      </c>
      <c r="H125" s="28" t="s">
        <v>736</v>
      </c>
      <c r="I125" s="28"/>
      <c r="J125" s="28" t="s">
        <v>712</v>
      </c>
      <c r="K125" s="28" t="s">
        <v>737</v>
      </c>
      <c r="L125" s="28" t="s">
        <v>107</v>
      </c>
      <c r="M125" s="28" t="s">
        <v>738</v>
      </c>
      <c r="N125" s="28"/>
      <c r="O125" s="28" t="str">
        <f aca="true">IFERROR(IF(N125="","",DATEVALUE(TEXT(N125,"DD.MM.YYYY"))-TODAY()),"Tarih Yok")</f>
        <v/>
      </c>
      <c r="P125" s="28" t="str">
        <f aca="true">IFERROR(IF(N125="","Tarih Yok",IF(DATEVALUE(TEXT(N125,"DD.MM.YYYY"))&lt;TODAY(),"GECİKMİŞ",IF(DATEVALUE(TEXT(N125,"DD.MM.YYYY"))-TODAY()&lt;=30,"30 GÜN İÇİNDE",IF(DATEVALUE(TEXT(N125,"DD.MM.YYYY"))-TODAY()&lt;=90,"90 GÜN İÇİNDE","Takvimdeyiz")))),"Tarih Kontrol")</f>
        <v>Tarih Yok</v>
      </c>
      <c r="Q125" s="28"/>
      <c r="R125" s="28" t="s">
        <v>739</v>
      </c>
      <c r="S125" s="28"/>
      <c r="T125" s="28" t="s">
        <v>35</v>
      </c>
    </row>
    <row r="126" customFormat="false" ht="15" hidden="false" customHeight="false" outlineLevel="0" collapsed="false">
      <c r="A126" s="28" t="s">
        <v>740</v>
      </c>
      <c r="B126" s="28" t="s">
        <v>154</v>
      </c>
      <c r="C126" s="28" t="s">
        <v>160</v>
      </c>
      <c r="D126" s="28" t="s">
        <v>741</v>
      </c>
      <c r="E126" s="28" t="s">
        <v>742</v>
      </c>
      <c r="F126" s="28"/>
      <c r="G126" s="29" t="n">
        <v>350</v>
      </c>
      <c r="H126" s="28" t="s">
        <v>736</v>
      </c>
      <c r="I126" s="28"/>
      <c r="J126" s="28" t="s">
        <v>712</v>
      </c>
      <c r="K126" s="28" t="s">
        <v>737</v>
      </c>
      <c r="L126" s="28" t="s">
        <v>107</v>
      </c>
      <c r="M126" s="28" t="s">
        <v>738</v>
      </c>
      <c r="N126" s="28"/>
      <c r="O126" s="28" t="str">
        <f aca="true">IFERROR(IF(N126="","",DATEVALUE(TEXT(N126,"DD.MM.YYYY"))-TODAY()),"Tarih Yok")</f>
        <v/>
      </c>
      <c r="P126" s="28" t="str">
        <f aca="true">IFERROR(IF(N126="","Tarih Yok",IF(DATEVALUE(TEXT(N126,"DD.MM.YYYY"))&lt;TODAY(),"GECİKMİŞ",IF(DATEVALUE(TEXT(N126,"DD.MM.YYYY"))-TODAY()&lt;=30,"30 GÜN İÇİNDE",IF(DATEVALUE(TEXT(N126,"DD.MM.YYYY"))-TODAY()&lt;=90,"90 GÜN İÇİNDE","Takvimdeyiz")))),"Tarih Kontrol")</f>
        <v>Tarih Yok</v>
      </c>
      <c r="Q126" s="28"/>
      <c r="R126" s="28" t="s">
        <v>743</v>
      </c>
      <c r="S126" s="28"/>
      <c r="T126" s="28" t="s">
        <v>35</v>
      </c>
    </row>
    <row r="127" customFormat="false" ht="15" hidden="false" customHeight="false" outlineLevel="0" collapsed="false">
      <c r="A127" s="28" t="s">
        <v>744</v>
      </c>
      <c r="B127" s="28" t="s">
        <v>154</v>
      </c>
      <c r="C127" s="28" t="s">
        <v>161</v>
      </c>
      <c r="D127" s="28" t="s">
        <v>745</v>
      </c>
      <c r="E127" s="28" t="s">
        <v>746</v>
      </c>
      <c r="F127" s="28"/>
      <c r="G127" s="29" t="n">
        <v>120</v>
      </c>
      <c r="H127" s="28" t="s">
        <v>747</v>
      </c>
      <c r="I127" s="28"/>
      <c r="J127" s="28" t="s">
        <v>712</v>
      </c>
      <c r="K127" s="28" t="s">
        <v>138</v>
      </c>
      <c r="L127" s="28" t="s">
        <v>107</v>
      </c>
      <c r="M127" s="28" t="s">
        <v>713</v>
      </c>
      <c r="N127" s="28"/>
      <c r="O127" s="28" t="str">
        <f aca="true">IFERROR(IF(N127="","",DATEVALUE(TEXT(N127,"DD.MM.YYYY"))-TODAY()),"Tarih Yok")</f>
        <v/>
      </c>
      <c r="P127" s="28" t="str">
        <f aca="true">IFERROR(IF(N127="","Tarih Yok",IF(DATEVALUE(TEXT(N127,"DD.MM.YYYY"))&lt;TODAY(),"GECİKMİŞ",IF(DATEVALUE(TEXT(N127,"DD.MM.YYYY"))-TODAY()&lt;=30,"30 GÜN İÇİNDE",IF(DATEVALUE(TEXT(N127,"DD.MM.YYYY"))-TODAY()&lt;=90,"90 GÜN İÇİNDE","Takvimdeyiz")))),"Tarih Kontrol")</f>
        <v>Tarih Yok</v>
      </c>
      <c r="Q127" s="28"/>
      <c r="R127" s="28" t="s">
        <v>748</v>
      </c>
      <c r="S127" s="28"/>
      <c r="T127" s="28" t="s">
        <v>35</v>
      </c>
    </row>
    <row r="128" customFormat="false" ht="15" hidden="false" customHeight="false" outlineLevel="0" collapsed="false">
      <c r="A128" s="28" t="s">
        <v>749</v>
      </c>
      <c r="B128" s="28" t="s">
        <v>154</v>
      </c>
      <c r="C128" s="28" t="s">
        <v>161</v>
      </c>
      <c r="D128" s="28" t="s">
        <v>750</v>
      </c>
      <c r="E128" s="28" t="s">
        <v>751</v>
      </c>
      <c r="F128" s="28"/>
      <c r="G128" s="29" t="n">
        <v>10</v>
      </c>
      <c r="H128" s="28" t="s">
        <v>747</v>
      </c>
      <c r="I128" s="28"/>
      <c r="J128" s="28" t="s">
        <v>712</v>
      </c>
      <c r="K128" s="28" t="s">
        <v>138</v>
      </c>
      <c r="L128" s="28" t="s">
        <v>107</v>
      </c>
      <c r="M128" s="28"/>
      <c r="N128" s="28"/>
      <c r="O128" s="28" t="str">
        <f aca="true">IFERROR(IF(N128="","",DATEVALUE(TEXT(N128,"DD.MM.YYYY"))-TODAY()),"Tarih Yok")</f>
        <v/>
      </c>
      <c r="P128" s="28" t="str">
        <f aca="true">IFERROR(IF(N128="","Tarih Yok",IF(DATEVALUE(TEXT(N128,"DD.MM.YYYY"))&lt;TODAY(),"GECİKMİŞ",IF(DATEVALUE(TEXT(N128,"DD.MM.YYYY"))-TODAY()&lt;=30,"30 GÜN İÇİNDE",IF(DATEVALUE(TEXT(N128,"DD.MM.YYYY"))-TODAY()&lt;=90,"90 GÜN İÇİNDE","Takvimdeyiz")))),"Tarih Kontrol")</f>
        <v>Tarih Yok</v>
      </c>
      <c r="Q128" s="28"/>
      <c r="R128" s="28"/>
      <c r="S128" s="28"/>
      <c r="T128" s="28" t="s">
        <v>35</v>
      </c>
    </row>
    <row r="129" customFormat="false" ht="15" hidden="false" customHeight="false" outlineLevel="0" collapsed="false">
      <c r="A129" s="28" t="s">
        <v>752</v>
      </c>
      <c r="B129" s="28" t="s">
        <v>154</v>
      </c>
      <c r="C129" s="28" t="s">
        <v>753</v>
      </c>
      <c r="D129" s="28" t="s">
        <v>677</v>
      </c>
      <c r="E129" s="28" t="s">
        <v>754</v>
      </c>
      <c r="F129" s="28"/>
      <c r="G129" s="28" t="s">
        <v>755</v>
      </c>
      <c r="H129" s="28" t="s">
        <v>756</v>
      </c>
      <c r="I129" s="28"/>
      <c r="J129" s="28" t="s">
        <v>712</v>
      </c>
      <c r="K129" s="28" t="s">
        <v>138</v>
      </c>
      <c r="L129" s="28" t="s">
        <v>107</v>
      </c>
      <c r="M129" s="28" t="s">
        <v>757</v>
      </c>
      <c r="N129" s="28"/>
      <c r="O129" s="28" t="str">
        <f aca="true">IFERROR(IF(N129="","",DATEVALUE(TEXT(N129,"DD.MM.YYYY"))-TODAY()),"Tarih Yok")</f>
        <v/>
      </c>
      <c r="P129" s="28" t="str">
        <f aca="true">IFERROR(IF(N129="","Tarih Yok",IF(DATEVALUE(TEXT(N129,"DD.MM.YYYY"))&lt;TODAY(),"GECİKMİŞ",IF(DATEVALUE(TEXT(N129,"DD.MM.YYYY"))-TODAY()&lt;=30,"30 GÜN İÇİNDE",IF(DATEVALUE(TEXT(N129,"DD.MM.YYYY"))-TODAY()&lt;=90,"90 GÜN İÇİNDE","Takvimdeyiz")))),"Tarih Kontrol")</f>
        <v>Tarih Yok</v>
      </c>
      <c r="Q129" s="28"/>
      <c r="R129" s="28" t="s">
        <v>758</v>
      </c>
      <c r="S129" s="28"/>
      <c r="T129" s="28" t="s">
        <v>35</v>
      </c>
    </row>
    <row r="130" customFormat="false" ht="15" hidden="false" customHeight="false" outlineLevel="0" collapsed="false">
      <c r="A130" s="28" t="s">
        <v>759</v>
      </c>
      <c r="B130" s="28" t="s">
        <v>154</v>
      </c>
      <c r="C130" s="28" t="s">
        <v>753</v>
      </c>
      <c r="D130" s="28" t="s">
        <v>679</v>
      </c>
      <c r="E130" s="28" t="s">
        <v>760</v>
      </c>
      <c r="F130" s="28"/>
      <c r="G130" s="28" t="s">
        <v>761</v>
      </c>
      <c r="H130" s="28" t="s">
        <v>736</v>
      </c>
      <c r="I130" s="28"/>
      <c r="J130" s="28" t="s">
        <v>712</v>
      </c>
      <c r="K130" s="28" t="s">
        <v>138</v>
      </c>
      <c r="L130" s="28" t="s">
        <v>107</v>
      </c>
      <c r="M130" s="28" t="s">
        <v>762</v>
      </c>
      <c r="N130" s="28"/>
      <c r="O130" s="28" t="str">
        <f aca="true">IFERROR(IF(N130="","",DATEVALUE(TEXT(N130,"DD.MM.YYYY"))-TODAY()),"Tarih Yok")</f>
        <v/>
      </c>
      <c r="P130" s="28" t="str">
        <f aca="true">IFERROR(IF(N130="","Tarih Yok",IF(DATEVALUE(TEXT(N130,"DD.MM.YYYY"))&lt;TODAY(),"GECİKMİŞ",IF(DATEVALUE(TEXT(N130,"DD.MM.YYYY"))-TODAY()&lt;=30,"30 GÜN İÇİNDE",IF(DATEVALUE(TEXT(N130,"DD.MM.YYYY"))-TODAY()&lt;=90,"90 GÜN İÇİNDE","Takvimdeyiz")))),"Tarih Kontrol")</f>
        <v>Tarih Yok</v>
      </c>
      <c r="Q130" s="28"/>
      <c r="R130" s="28" t="s">
        <v>763</v>
      </c>
      <c r="S130" s="28"/>
      <c r="T130" s="28" t="s">
        <v>35</v>
      </c>
    </row>
    <row r="131" customFormat="false" ht="15" hidden="false" customHeight="false" outlineLevel="0" collapsed="false">
      <c r="A131" s="28" t="s">
        <v>764</v>
      </c>
      <c r="B131" s="28" t="s">
        <v>154</v>
      </c>
      <c r="C131" s="28" t="s">
        <v>753</v>
      </c>
      <c r="D131" s="28" t="s">
        <v>681</v>
      </c>
      <c r="E131" s="28" t="s">
        <v>765</v>
      </c>
      <c r="F131" s="28"/>
      <c r="G131" s="29" t="n">
        <v>110</v>
      </c>
      <c r="H131" s="28" t="s">
        <v>766</v>
      </c>
      <c r="I131" s="28"/>
      <c r="J131" s="28" t="s">
        <v>712</v>
      </c>
      <c r="K131" s="28" t="s">
        <v>138</v>
      </c>
      <c r="L131" s="28" t="s">
        <v>107</v>
      </c>
      <c r="M131" s="28" t="s">
        <v>713</v>
      </c>
      <c r="N131" s="28"/>
      <c r="O131" s="28" t="str">
        <f aca="true">IFERROR(IF(N131="","",DATEVALUE(TEXT(N131,"DD.MM.YYYY"))-TODAY()),"Tarih Yok")</f>
        <v/>
      </c>
      <c r="P131" s="28" t="str">
        <f aca="true">IFERROR(IF(N131="","Tarih Yok",IF(DATEVALUE(TEXT(N131,"DD.MM.YYYY"))&lt;TODAY(),"GECİKMİŞ",IF(DATEVALUE(TEXT(N131,"DD.MM.YYYY"))-TODAY()&lt;=30,"30 GÜN İÇİNDE",IF(DATEVALUE(TEXT(N131,"DD.MM.YYYY"))-TODAY()&lt;=90,"90 GÜN İÇİNDE","Takvimdeyiz")))),"Tarih Kontrol")</f>
        <v>Tarih Yok</v>
      </c>
      <c r="Q131" s="28"/>
      <c r="R131" s="28" t="s">
        <v>767</v>
      </c>
      <c r="S131" s="28"/>
      <c r="T131" s="28" t="s">
        <v>35</v>
      </c>
    </row>
    <row r="132" customFormat="false" ht="15" hidden="false" customHeight="false" outlineLevel="0" collapsed="false">
      <c r="A132" s="28" t="s">
        <v>768</v>
      </c>
      <c r="B132" s="28" t="s">
        <v>154</v>
      </c>
      <c r="C132" s="28" t="s">
        <v>753</v>
      </c>
      <c r="D132" s="28" t="s">
        <v>683</v>
      </c>
      <c r="E132" s="28" t="s">
        <v>769</v>
      </c>
      <c r="F132" s="28"/>
      <c r="G132" s="29" t="n">
        <v>110</v>
      </c>
      <c r="H132" s="28" t="s">
        <v>766</v>
      </c>
      <c r="I132" s="28"/>
      <c r="J132" s="28" t="s">
        <v>712</v>
      </c>
      <c r="K132" s="28" t="s">
        <v>138</v>
      </c>
      <c r="L132" s="28" t="s">
        <v>107</v>
      </c>
      <c r="M132" s="28" t="s">
        <v>713</v>
      </c>
      <c r="N132" s="28"/>
      <c r="O132" s="28" t="str">
        <f aca="true">IFERROR(IF(N132="","",DATEVALUE(TEXT(N132,"DD.MM.YYYY"))-TODAY()),"Tarih Yok")</f>
        <v/>
      </c>
      <c r="P132" s="28" t="str">
        <f aca="true">IFERROR(IF(N132="","Tarih Yok",IF(DATEVALUE(TEXT(N132,"DD.MM.YYYY"))&lt;TODAY(),"GECİKMİŞ",IF(DATEVALUE(TEXT(N132,"DD.MM.YYYY"))-TODAY()&lt;=30,"30 GÜN İÇİNDE",IF(DATEVALUE(TEXT(N132,"DD.MM.YYYY"))-TODAY()&lt;=90,"90 GÜN İÇİNDE","Takvimdeyiz")))),"Tarih Kontrol")</f>
        <v>Tarih Yok</v>
      </c>
      <c r="Q132" s="28"/>
      <c r="R132" s="28" t="s">
        <v>770</v>
      </c>
      <c r="S132" s="28"/>
      <c r="T132" s="28" t="s">
        <v>35</v>
      </c>
    </row>
    <row r="133" customFormat="false" ht="15" hidden="false" customHeight="false" outlineLevel="0" collapsed="false">
      <c r="A133" s="28" t="s">
        <v>771</v>
      </c>
      <c r="B133" s="28" t="s">
        <v>154</v>
      </c>
      <c r="C133" s="28" t="s">
        <v>161</v>
      </c>
      <c r="D133" s="28" t="s">
        <v>685</v>
      </c>
      <c r="E133" s="28" t="s">
        <v>772</v>
      </c>
      <c r="F133" s="28"/>
      <c r="G133" s="29" t="n">
        <v>9</v>
      </c>
      <c r="H133" s="28" t="s">
        <v>773</v>
      </c>
      <c r="I133" s="28"/>
      <c r="J133" s="28" t="s">
        <v>712</v>
      </c>
      <c r="K133" s="28" t="s">
        <v>138</v>
      </c>
      <c r="L133" s="28" t="s">
        <v>107</v>
      </c>
      <c r="M133" s="28" t="s">
        <v>638</v>
      </c>
      <c r="N133" s="28"/>
      <c r="O133" s="28" t="str">
        <f aca="true">IFERROR(IF(N133="","",DATEVALUE(TEXT(N133,"DD.MM.YYYY"))-TODAY()),"Tarih Yok")</f>
        <v/>
      </c>
      <c r="P133" s="28" t="str">
        <f aca="true">IFERROR(IF(N133="","Tarih Yok",IF(DATEVALUE(TEXT(N133,"DD.MM.YYYY"))&lt;TODAY(),"GECİKMİŞ",IF(DATEVALUE(TEXT(N133,"DD.MM.YYYY"))-TODAY()&lt;=30,"30 GÜN İÇİNDE",IF(DATEVALUE(TEXT(N133,"DD.MM.YYYY"))-TODAY()&lt;=90,"90 GÜN İÇİNDE","Takvimdeyiz")))),"Tarih Kontrol")</f>
        <v>Tarih Yok</v>
      </c>
      <c r="Q133" s="28"/>
      <c r="R133" s="28" t="s">
        <v>638</v>
      </c>
      <c r="S133" s="28"/>
      <c r="T133" s="28" t="s">
        <v>35</v>
      </c>
    </row>
    <row r="134" customFormat="false" ht="15" hidden="false" customHeight="false" outlineLevel="0" collapsed="false">
      <c r="A134" s="28" t="s">
        <v>774</v>
      </c>
      <c r="B134" s="28" t="s">
        <v>154</v>
      </c>
      <c r="C134" s="28" t="s">
        <v>160</v>
      </c>
      <c r="D134" s="28" t="s">
        <v>687</v>
      </c>
      <c r="E134" s="28" t="s">
        <v>775</v>
      </c>
      <c r="F134" s="28"/>
      <c r="G134" s="29" t="n">
        <v>20</v>
      </c>
      <c r="H134" s="28" t="s">
        <v>747</v>
      </c>
      <c r="I134" s="28"/>
      <c r="J134" s="28" t="s">
        <v>712</v>
      </c>
      <c r="K134" s="28" t="s">
        <v>138</v>
      </c>
      <c r="L134" s="28" t="s">
        <v>107</v>
      </c>
      <c r="M134" s="28"/>
      <c r="N134" s="28"/>
      <c r="O134" s="28" t="str">
        <f aca="true">IFERROR(IF(N134="","",DATEVALUE(TEXT(N134,"DD.MM.YYYY"))-TODAY()),"Tarih Yok")</f>
        <v/>
      </c>
      <c r="P134" s="28" t="str">
        <f aca="true">IFERROR(IF(N134="","Tarih Yok",IF(DATEVALUE(TEXT(N134,"DD.MM.YYYY"))&lt;TODAY(),"GECİKMİŞ",IF(DATEVALUE(TEXT(N134,"DD.MM.YYYY"))-TODAY()&lt;=30,"30 GÜN İÇİNDE",IF(DATEVALUE(TEXT(N134,"DD.MM.YYYY"))-TODAY()&lt;=90,"90 GÜN İÇİNDE","Takvimdeyiz")))),"Tarih Kontrol")</f>
        <v>Tarih Yok</v>
      </c>
      <c r="Q134" s="28"/>
      <c r="R134" s="28"/>
      <c r="S134" s="28"/>
      <c r="T134" s="28" t="s">
        <v>35</v>
      </c>
    </row>
    <row r="135" customFormat="false" ht="15" hidden="false" customHeight="false" outlineLevel="0" collapsed="false">
      <c r="A135" s="28" t="s">
        <v>776</v>
      </c>
      <c r="B135" s="28" t="s">
        <v>154</v>
      </c>
      <c r="C135" s="28" t="s">
        <v>161</v>
      </c>
      <c r="D135" s="28" t="s">
        <v>689</v>
      </c>
      <c r="E135" s="28" t="s">
        <v>777</v>
      </c>
      <c r="F135" s="28"/>
      <c r="G135" s="29" t="n">
        <v>30</v>
      </c>
      <c r="H135" s="28" t="s">
        <v>747</v>
      </c>
      <c r="I135" s="28"/>
      <c r="J135" s="28" t="s">
        <v>712</v>
      </c>
      <c r="K135" s="28" t="s">
        <v>138</v>
      </c>
      <c r="L135" s="28" t="s">
        <v>107</v>
      </c>
      <c r="M135" s="28"/>
      <c r="N135" s="28"/>
      <c r="O135" s="28" t="str">
        <f aca="true">IFERROR(IF(N135="","",DATEVALUE(TEXT(N135,"DD.MM.YYYY"))-TODAY()),"Tarih Yok")</f>
        <v/>
      </c>
      <c r="P135" s="28" t="str">
        <f aca="true">IFERROR(IF(N135="","Tarih Yok",IF(DATEVALUE(TEXT(N135,"DD.MM.YYYY"))&lt;TODAY(),"GECİKMİŞ",IF(DATEVALUE(TEXT(N135,"DD.MM.YYYY"))-TODAY()&lt;=30,"30 GÜN İÇİNDE",IF(DATEVALUE(TEXT(N135,"DD.MM.YYYY"))-TODAY()&lt;=90,"90 GÜN İÇİNDE","Takvimdeyiz")))),"Tarih Kontrol")</f>
        <v>Tarih Yok</v>
      </c>
      <c r="Q135" s="28"/>
      <c r="R135" s="28"/>
      <c r="S135" s="28"/>
      <c r="T135" s="28" t="s">
        <v>35</v>
      </c>
    </row>
    <row r="136" customFormat="false" ht="15" hidden="false" customHeight="false" outlineLevel="0" collapsed="false">
      <c r="A136" s="28" t="s">
        <v>778</v>
      </c>
      <c r="B136" s="28" t="s">
        <v>154</v>
      </c>
      <c r="C136" s="28" t="s">
        <v>161</v>
      </c>
      <c r="D136" s="28" t="s">
        <v>779</v>
      </c>
      <c r="E136" s="28" t="s">
        <v>780</v>
      </c>
      <c r="F136" s="28"/>
      <c r="G136" s="29" t="n">
        <v>30</v>
      </c>
      <c r="H136" s="28" t="s">
        <v>747</v>
      </c>
      <c r="I136" s="28"/>
      <c r="J136" s="28" t="s">
        <v>712</v>
      </c>
      <c r="K136" s="28" t="s">
        <v>138</v>
      </c>
      <c r="L136" s="28" t="s">
        <v>107</v>
      </c>
      <c r="M136" s="28"/>
      <c r="N136" s="28"/>
      <c r="O136" s="28" t="str">
        <f aca="true">IFERROR(IF(N136="","",DATEVALUE(TEXT(N136,"DD.MM.YYYY"))-TODAY()),"Tarih Yok")</f>
        <v/>
      </c>
      <c r="P136" s="28" t="str">
        <f aca="true">IFERROR(IF(N136="","Tarih Yok",IF(DATEVALUE(TEXT(N136,"DD.MM.YYYY"))&lt;TODAY(),"GECİKMİŞ",IF(DATEVALUE(TEXT(N136,"DD.MM.YYYY"))-TODAY()&lt;=30,"30 GÜN İÇİNDE",IF(DATEVALUE(TEXT(N136,"DD.MM.YYYY"))-TODAY()&lt;=90,"90 GÜN İÇİNDE","Takvimdeyiz")))),"Tarih Kontrol")</f>
        <v>Tarih Yok</v>
      </c>
      <c r="Q136" s="28"/>
      <c r="R136" s="28"/>
      <c r="S136" s="28"/>
      <c r="T136" s="28" t="s">
        <v>35</v>
      </c>
    </row>
    <row r="137" customFormat="false" ht="15" hidden="false" customHeight="false" outlineLevel="0" collapsed="false">
      <c r="A137" s="28" t="s">
        <v>781</v>
      </c>
      <c r="B137" s="28" t="s">
        <v>154</v>
      </c>
      <c r="C137" s="28" t="s">
        <v>161</v>
      </c>
      <c r="D137" s="28" t="s">
        <v>782</v>
      </c>
      <c r="E137" s="28" t="s">
        <v>783</v>
      </c>
      <c r="F137" s="28"/>
      <c r="G137" s="29" t="n">
        <v>10</v>
      </c>
      <c r="H137" s="28" t="s">
        <v>747</v>
      </c>
      <c r="I137" s="28"/>
      <c r="J137" s="28" t="s">
        <v>712</v>
      </c>
      <c r="K137" s="28" t="s">
        <v>138</v>
      </c>
      <c r="L137" s="28" t="s">
        <v>107</v>
      </c>
      <c r="M137" s="28"/>
      <c r="N137" s="28"/>
      <c r="O137" s="28" t="str">
        <f aca="true">IFERROR(IF(N137="","",DATEVALUE(TEXT(N137,"DD.MM.YYYY"))-TODAY()),"Tarih Yok")</f>
        <v/>
      </c>
      <c r="P137" s="28" t="str">
        <f aca="true">IFERROR(IF(N137="","Tarih Yok",IF(DATEVALUE(TEXT(N137,"DD.MM.YYYY"))&lt;TODAY(),"GECİKMİŞ",IF(DATEVALUE(TEXT(N137,"DD.MM.YYYY"))-TODAY()&lt;=30,"30 GÜN İÇİNDE",IF(DATEVALUE(TEXT(N137,"DD.MM.YYYY"))-TODAY()&lt;=90,"90 GÜN İÇİNDE","Takvimdeyiz")))),"Tarih Kontrol")</f>
        <v>Tarih Yok</v>
      </c>
      <c r="Q137" s="28"/>
      <c r="R137" s="28"/>
      <c r="S137" s="28"/>
      <c r="T137" s="28" t="s">
        <v>35</v>
      </c>
    </row>
    <row r="138" customFormat="false" ht="15" hidden="false" customHeight="false" outlineLevel="0" collapsed="false">
      <c r="A138" s="28" t="s">
        <v>784</v>
      </c>
      <c r="B138" s="28" t="s">
        <v>154</v>
      </c>
      <c r="C138" s="28" t="s">
        <v>161</v>
      </c>
      <c r="D138" s="28" t="s">
        <v>785</v>
      </c>
      <c r="E138" s="28" t="s">
        <v>786</v>
      </c>
      <c r="F138" s="28"/>
      <c r="G138" s="29" t="n">
        <v>10</v>
      </c>
      <c r="H138" s="28" t="s">
        <v>747</v>
      </c>
      <c r="I138" s="28"/>
      <c r="J138" s="28" t="s">
        <v>712</v>
      </c>
      <c r="K138" s="28" t="s">
        <v>138</v>
      </c>
      <c r="L138" s="28" t="s">
        <v>107</v>
      </c>
      <c r="M138" s="28"/>
      <c r="N138" s="28"/>
      <c r="O138" s="28" t="str">
        <f aca="true">IFERROR(IF(N138="","",DATEVALUE(TEXT(N138,"DD.MM.YYYY"))-TODAY()),"Tarih Yok")</f>
        <v/>
      </c>
      <c r="P138" s="28" t="str">
        <f aca="true">IFERROR(IF(N138="","Tarih Yok",IF(DATEVALUE(TEXT(N138,"DD.MM.YYYY"))&lt;TODAY(),"GECİKMİŞ",IF(DATEVALUE(TEXT(N138,"DD.MM.YYYY"))-TODAY()&lt;=30,"30 GÜN İÇİNDE",IF(DATEVALUE(TEXT(N138,"DD.MM.YYYY"))-TODAY()&lt;=90,"90 GÜN İÇİNDE","Takvimdeyiz")))),"Tarih Kontrol")</f>
        <v>Tarih Yok</v>
      </c>
      <c r="Q138" s="28"/>
      <c r="R138" s="28"/>
      <c r="S138" s="28"/>
      <c r="T138" s="28" t="s">
        <v>35</v>
      </c>
    </row>
    <row r="139" customFormat="false" ht="15" hidden="false" customHeight="false" outlineLevel="0" collapsed="false">
      <c r="A139" s="28" t="s">
        <v>787</v>
      </c>
      <c r="B139" s="28" t="s">
        <v>154</v>
      </c>
      <c r="C139" s="28" t="s">
        <v>161</v>
      </c>
      <c r="D139" s="28" t="s">
        <v>788</v>
      </c>
      <c r="E139" s="28" t="s">
        <v>789</v>
      </c>
      <c r="F139" s="28"/>
      <c r="G139" s="29" t="n">
        <v>20</v>
      </c>
      <c r="H139" s="28" t="s">
        <v>747</v>
      </c>
      <c r="I139" s="28"/>
      <c r="J139" s="28" t="s">
        <v>712</v>
      </c>
      <c r="K139" s="28" t="s">
        <v>138</v>
      </c>
      <c r="L139" s="28" t="s">
        <v>107</v>
      </c>
      <c r="M139" s="28"/>
      <c r="N139" s="28"/>
      <c r="O139" s="28" t="str">
        <f aca="true">IFERROR(IF(N139="","",DATEVALUE(TEXT(N139,"DD.MM.YYYY"))-TODAY()),"Tarih Yok")</f>
        <v/>
      </c>
      <c r="P139" s="28" t="str">
        <f aca="true">IFERROR(IF(N139="","Tarih Yok",IF(DATEVALUE(TEXT(N139,"DD.MM.YYYY"))&lt;TODAY(),"GECİKMİŞ",IF(DATEVALUE(TEXT(N139,"DD.MM.YYYY"))-TODAY()&lt;=30,"30 GÜN İÇİNDE",IF(DATEVALUE(TEXT(N139,"DD.MM.YYYY"))-TODAY()&lt;=90,"90 GÜN İÇİNDE","Takvimdeyiz")))),"Tarih Kontrol")</f>
        <v>Tarih Yok</v>
      </c>
      <c r="Q139" s="28"/>
      <c r="R139" s="28"/>
      <c r="S139" s="28"/>
      <c r="T139" s="28" t="s">
        <v>35</v>
      </c>
    </row>
    <row r="140" customFormat="false" ht="15" hidden="false" customHeight="false" outlineLevel="0" collapsed="false">
      <c r="A140" s="28" t="s">
        <v>790</v>
      </c>
      <c r="B140" s="28" t="s">
        <v>154</v>
      </c>
      <c r="C140" s="28" t="s">
        <v>161</v>
      </c>
      <c r="D140" s="28" t="s">
        <v>791</v>
      </c>
      <c r="E140" s="28" t="s">
        <v>792</v>
      </c>
      <c r="F140" s="28"/>
      <c r="G140" s="29" t="n">
        <v>20</v>
      </c>
      <c r="H140" s="28" t="s">
        <v>747</v>
      </c>
      <c r="I140" s="28"/>
      <c r="J140" s="28" t="s">
        <v>712</v>
      </c>
      <c r="K140" s="28" t="s">
        <v>138</v>
      </c>
      <c r="L140" s="28" t="s">
        <v>107</v>
      </c>
      <c r="M140" s="28"/>
      <c r="N140" s="28"/>
      <c r="O140" s="28" t="str">
        <f aca="true">IFERROR(IF(N140="","",DATEVALUE(TEXT(N140,"DD.MM.YYYY"))-TODAY()),"Tarih Yok")</f>
        <v/>
      </c>
      <c r="P140" s="28" t="str">
        <f aca="true">IFERROR(IF(N140="","Tarih Yok",IF(DATEVALUE(TEXT(N140,"DD.MM.YYYY"))&lt;TODAY(),"GECİKMİŞ",IF(DATEVALUE(TEXT(N140,"DD.MM.YYYY"))-TODAY()&lt;=30,"30 GÜN İÇİNDE",IF(DATEVALUE(TEXT(N140,"DD.MM.YYYY"))-TODAY()&lt;=90,"90 GÜN İÇİNDE","Takvimdeyiz")))),"Tarih Kontrol")</f>
        <v>Tarih Yok</v>
      </c>
      <c r="Q140" s="28"/>
      <c r="R140" s="28"/>
      <c r="S140" s="28"/>
      <c r="T140" s="28" t="s">
        <v>35</v>
      </c>
    </row>
    <row r="141" customFormat="false" ht="15" hidden="false" customHeight="false" outlineLevel="0" collapsed="false">
      <c r="A141" s="28" t="s">
        <v>793</v>
      </c>
      <c r="B141" s="28" t="s">
        <v>154</v>
      </c>
      <c r="C141" s="28" t="s">
        <v>161</v>
      </c>
      <c r="D141" s="28" t="s">
        <v>794</v>
      </c>
      <c r="E141" s="28" t="s">
        <v>795</v>
      </c>
      <c r="F141" s="28"/>
      <c r="G141" s="29" t="n">
        <v>10</v>
      </c>
      <c r="H141" s="28" t="s">
        <v>747</v>
      </c>
      <c r="I141" s="28"/>
      <c r="J141" s="28" t="s">
        <v>712</v>
      </c>
      <c r="K141" s="28" t="s">
        <v>138</v>
      </c>
      <c r="L141" s="28" t="s">
        <v>107</v>
      </c>
      <c r="M141" s="28"/>
      <c r="N141" s="28"/>
      <c r="O141" s="28" t="str">
        <f aca="true">IFERROR(IF(N141="","",DATEVALUE(TEXT(N141,"DD.MM.YYYY"))-TODAY()),"Tarih Yok")</f>
        <v/>
      </c>
      <c r="P141" s="28" t="str">
        <f aca="true">IFERROR(IF(N141="","Tarih Yok",IF(DATEVALUE(TEXT(N141,"DD.MM.YYYY"))&lt;TODAY(),"GECİKMİŞ",IF(DATEVALUE(TEXT(N141,"DD.MM.YYYY"))-TODAY()&lt;=30,"30 GÜN İÇİNDE",IF(DATEVALUE(TEXT(N141,"DD.MM.YYYY"))-TODAY()&lt;=90,"90 GÜN İÇİNDE","Takvimdeyiz")))),"Tarih Kontrol")</f>
        <v>Tarih Yok</v>
      </c>
      <c r="Q141" s="28"/>
      <c r="R141" s="28"/>
      <c r="S141" s="28"/>
      <c r="T141" s="28" t="s">
        <v>35</v>
      </c>
    </row>
  </sheetData>
  <mergeCells count="1">
    <mergeCell ref="A1:T1"/>
  </mergeCells>
  <conditionalFormatting sqref="Q3:Q141">
    <cfRule type="expression" priority="2" aboveAverage="0" equalAverage="0" bottom="0" percent="0" rank="0" text="" dxfId="14">
      <formula>$Q3="Uygun Değil"</formula>
    </cfRule>
    <cfRule type="expression" priority="3" aboveAverage="0" equalAverage="0" bottom="0" percent="0" rank="0" text="" dxfId="14">
      <formula>$Q3="Uygunsuz"</formula>
    </cfRule>
    <cfRule type="expression" priority="4" aboveAverage="0" equalAverage="0" bottom="0" percent="0" rank="0" text="" dxfId="15">
      <formula>$Q3="Uygun"</formula>
    </cfRule>
  </conditionalFormatting>
  <conditionalFormatting sqref="P3:P141">
    <cfRule type="expression" priority="5" aboveAverage="0" equalAverage="0" bottom="0" percent="0" rank="0" text="" dxfId="16">
      <formula>$P3="GECİKMİŞ"</formula>
    </cfRule>
    <cfRule type="expression" priority="6" aboveAverage="0" equalAverage="0" bottom="0" percent="0" rank="0" text="" dxfId="17">
      <formula>$P3="30 GÜN İÇİNDE"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942"/>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40"/>
    <col collapsed="false" customWidth="true" hidden="false" outlineLevel="0" max="4" min="4" style="0" width="16"/>
    <col collapsed="false" customWidth="true" hidden="false" outlineLevel="0" max="5" min="5" style="0" width="22"/>
    <col collapsed="false" customWidth="true" hidden="false" outlineLevel="0" max="6" min="6" style="0" width="30"/>
    <col collapsed="false" customWidth="true" hidden="false" outlineLevel="0" max="7" min="7" style="0" width="20"/>
    <col collapsed="false" customWidth="true" hidden="false" outlineLevel="0" max="9" min="8" style="0" width="55"/>
    <col collapsed="false" customWidth="true" hidden="false" outlineLevel="0" max="10" min="10" style="0" width="16"/>
    <col collapsed="false" customWidth="true" hidden="false" outlineLevel="0" max="11" min="11" style="0" width="14"/>
    <col collapsed="false" customWidth="true" hidden="false" outlineLevel="0" max="12" min="12" style="0" width="16"/>
    <col collapsed="false" customWidth="true" hidden="false" outlineLevel="0" max="13" min="13" style="0" width="14"/>
    <col collapsed="false" customWidth="true" hidden="false" outlineLevel="0" max="14" min="14" style="0" width="40"/>
  </cols>
  <sheetData>
    <row r="1" customFormat="false" ht="27.75" hidden="false" customHeight="true" outlineLevel="0" collapsed="false">
      <c r="A1" s="17" t="s">
        <v>796</v>
      </c>
      <c r="B1" s="17"/>
      <c r="C1" s="17"/>
      <c r="D1" s="17"/>
      <c r="E1" s="17"/>
      <c r="F1" s="17"/>
      <c r="G1" s="17"/>
      <c r="H1" s="17"/>
      <c r="I1" s="17"/>
      <c r="J1" s="17"/>
      <c r="K1" s="17"/>
      <c r="L1" s="17"/>
      <c r="M1" s="17"/>
      <c r="N1" s="17"/>
    </row>
    <row r="2" customFormat="false" ht="30" hidden="false" customHeight="true" outlineLevel="0" collapsed="false">
      <c r="A2" s="18" t="s">
        <v>797</v>
      </c>
      <c r="B2" s="18" t="s">
        <v>326</v>
      </c>
      <c r="C2" s="18" t="s">
        <v>329</v>
      </c>
      <c r="D2" s="18" t="s">
        <v>798</v>
      </c>
      <c r="E2" s="18" t="s">
        <v>799</v>
      </c>
      <c r="F2" s="18" t="s">
        <v>800</v>
      </c>
      <c r="G2" s="18" t="s">
        <v>341</v>
      </c>
      <c r="H2" s="18" t="s">
        <v>801</v>
      </c>
      <c r="I2" s="18" t="s">
        <v>802</v>
      </c>
      <c r="J2" s="18" t="s">
        <v>803</v>
      </c>
      <c r="K2" s="18" t="s">
        <v>189</v>
      </c>
      <c r="L2" s="18" t="s">
        <v>804</v>
      </c>
      <c r="M2" s="18" t="s">
        <v>273</v>
      </c>
      <c r="N2" s="18" t="s">
        <v>228</v>
      </c>
    </row>
    <row r="3" customFormat="false" ht="23.85" hidden="false" customHeight="false" outlineLevel="0" collapsed="false">
      <c r="A3" s="19" t="s">
        <v>805</v>
      </c>
      <c r="B3" s="19" t="s">
        <v>412</v>
      </c>
      <c r="C3" s="19" t="s">
        <v>806</v>
      </c>
      <c r="D3" s="19" t="s">
        <v>762</v>
      </c>
      <c r="E3" s="19" t="s">
        <v>807</v>
      </c>
      <c r="F3" s="19" t="s">
        <v>808</v>
      </c>
      <c r="G3" s="19"/>
      <c r="H3" s="19" t="s">
        <v>809</v>
      </c>
      <c r="I3" s="19" t="s">
        <v>810</v>
      </c>
      <c r="J3" s="19" t="s">
        <v>811</v>
      </c>
      <c r="K3" s="19" t="s">
        <v>135</v>
      </c>
      <c r="L3" s="19"/>
      <c r="M3" s="19"/>
      <c r="N3" s="19"/>
    </row>
    <row r="4" customFormat="false" ht="15" hidden="false" customHeight="false" outlineLevel="0" collapsed="false">
      <c r="A4" s="20" t="s">
        <v>812</v>
      </c>
      <c r="B4" s="20" t="s">
        <v>499</v>
      </c>
      <c r="C4" s="20" t="s">
        <v>501</v>
      </c>
      <c r="D4" s="20" t="s">
        <v>762</v>
      </c>
      <c r="E4" s="20" t="s">
        <v>116</v>
      </c>
      <c r="F4" s="20" t="s">
        <v>808</v>
      </c>
      <c r="G4" s="20"/>
      <c r="H4" s="20" t="s">
        <v>813</v>
      </c>
      <c r="I4" s="20" t="s">
        <v>814</v>
      </c>
      <c r="J4" s="20" t="s">
        <v>811</v>
      </c>
      <c r="K4" s="20" t="s">
        <v>135</v>
      </c>
      <c r="L4" s="20"/>
      <c r="M4" s="20"/>
      <c r="N4" s="20"/>
    </row>
    <row r="5" customFormat="false" ht="15" hidden="false" customHeight="false" outlineLevel="0" collapsed="false">
      <c r="A5" s="19" t="s">
        <v>815</v>
      </c>
      <c r="B5" s="19" t="s">
        <v>343</v>
      </c>
      <c r="C5" s="19" t="s">
        <v>816</v>
      </c>
      <c r="D5" s="19" t="s">
        <v>817</v>
      </c>
      <c r="E5" s="19" t="s">
        <v>818</v>
      </c>
      <c r="F5" s="19" t="s">
        <v>808</v>
      </c>
      <c r="G5" s="19"/>
      <c r="H5" s="19" t="s">
        <v>98</v>
      </c>
      <c r="I5" s="19"/>
      <c r="J5" s="19" t="s">
        <v>819</v>
      </c>
      <c r="K5" s="19" t="s">
        <v>135</v>
      </c>
      <c r="L5" s="19"/>
      <c r="M5" s="19"/>
      <c r="N5" s="19"/>
    </row>
    <row r="6" customFormat="false" ht="15" hidden="false" customHeight="false" outlineLevel="0" collapsed="false">
      <c r="A6" s="20"/>
      <c r="B6" s="20"/>
      <c r="C6" s="20"/>
      <c r="D6" s="27"/>
      <c r="E6" s="20"/>
      <c r="F6" s="20"/>
      <c r="G6" s="20"/>
      <c r="H6" s="20"/>
      <c r="I6" s="20"/>
      <c r="J6" s="20"/>
      <c r="K6" s="20"/>
      <c r="L6" s="20"/>
      <c r="M6" s="20"/>
      <c r="N6" s="20"/>
    </row>
    <row r="7" customFormat="false" ht="15" hidden="false" customHeight="false" outlineLevel="0" collapsed="false">
      <c r="A7" s="20"/>
      <c r="B7" s="20"/>
      <c r="C7" s="20"/>
      <c r="D7" s="27"/>
      <c r="E7" s="20"/>
      <c r="F7" s="20"/>
      <c r="G7" s="20"/>
      <c r="H7" s="20"/>
      <c r="I7" s="20"/>
      <c r="J7" s="20"/>
      <c r="K7" s="20"/>
      <c r="L7" s="20"/>
      <c r="M7" s="20"/>
      <c r="N7" s="20"/>
    </row>
    <row r="8" customFormat="false" ht="15" hidden="false" customHeight="false" outlineLevel="0" collapsed="false">
      <c r="A8" s="20"/>
      <c r="B8" s="20"/>
      <c r="C8" s="20"/>
      <c r="D8" s="27"/>
      <c r="E8" s="20"/>
      <c r="F8" s="20"/>
      <c r="G8" s="20"/>
      <c r="H8" s="20"/>
      <c r="I8" s="20"/>
      <c r="J8" s="20"/>
      <c r="K8" s="20"/>
      <c r="L8" s="20"/>
      <c r="M8" s="20"/>
      <c r="N8" s="20"/>
    </row>
    <row r="9" customFormat="false" ht="15" hidden="false" customHeight="false" outlineLevel="0" collapsed="false">
      <c r="A9" s="20"/>
      <c r="B9" s="20"/>
      <c r="C9" s="20"/>
      <c r="D9" s="27"/>
      <c r="E9" s="20"/>
      <c r="F9" s="20"/>
      <c r="G9" s="20"/>
      <c r="H9" s="20"/>
      <c r="I9" s="20"/>
      <c r="J9" s="20"/>
      <c r="K9" s="20"/>
      <c r="L9" s="20"/>
      <c r="M9" s="20"/>
      <c r="N9" s="20"/>
    </row>
    <row r="10" customFormat="false" ht="15" hidden="false" customHeight="false" outlineLevel="0" collapsed="false">
      <c r="A10" s="20"/>
      <c r="B10" s="20"/>
      <c r="C10" s="20"/>
      <c r="D10" s="27"/>
      <c r="E10" s="20"/>
      <c r="F10" s="20"/>
      <c r="G10" s="20"/>
      <c r="H10" s="20"/>
      <c r="I10" s="20"/>
      <c r="J10" s="20"/>
      <c r="K10" s="20"/>
      <c r="L10" s="20"/>
      <c r="M10" s="20"/>
      <c r="N10" s="20"/>
    </row>
    <row r="11" customFormat="false" ht="15" hidden="false" customHeight="false" outlineLevel="0" collapsed="false">
      <c r="A11" s="20"/>
      <c r="B11" s="20"/>
      <c r="C11" s="20"/>
      <c r="D11" s="27"/>
      <c r="E11" s="20"/>
      <c r="F11" s="20"/>
      <c r="G11" s="20"/>
      <c r="H11" s="20"/>
      <c r="I11" s="20"/>
      <c r="J11" s="20"/>
      <c r="K11" s="20"/>
      <c r="L11" s="20"/>
      <c r="M11" s="20"/>
      <c r="N11" s="20"/>
    </row>
    <row r="12" customFormat="false" ht="15" hidden="false" customHeight="false" outlineLevel="0" collapsed="false">
      <c r="A12" s="20"/>
      <c r="B12" s="20"/>
      <c r="C12" s="20"/>
      <c r="D12" s="27"/>
      <c r="E12" s="20"/>
      <c r="F12" s="20"/>
      <c r="G12" s="20"/>
      <c r="H12" s="20"/>
      <c r="I12" s="20"/>
      <c r="J12" s="20"/>
      <c r="K12" s="20"/>
      <c r="L12" s="20"/>
      <c r="M12" s="20"/>
      <c r="N12" s="20"/>
    </row>
    <row r="13" customFormat="false" ht="15" hidden="false" customHeight="false" outlineLevel="0" collapsed="false">
      <c r="A13" s="20"/>
      <c r="B13" s="20"/>
      <c r="C13" s="20"/>
      <c r="D13" s="27"/>
      <c r="E13" s="20"/>
      <c r="F13" s="20"/>
      <c r="G13" s="20"/>
      <c r="H13" s="20"/>
      <c r="I13" s="20"/>
      <c r="J13" s="20"/>
      <c r="K13" s="20"/>
      <c r="L13" s="20"/>
      <c r="M13" s="20"/>
      <c r="N13" s="20"/>
    </row>
    <row r="14" customFormat="false" ht="15" hidden="false" customHeight="false" outlineLevel="0" collapsed="false">
      <c r="A14" s="20"/>
      <c r="B14" s="20"/>
      <c r="C14" s="20"/>
      <c r="D14" s="27"/>
      <c r="E14" s="20"/>
      <c r="F14" s="20"/>
      <c r="G14" s="20"/>
      <c r="H14" s="20"/>
      <c r="I14" s="20"/>
      <c r="J14" s="20"/>
      <c r="K14" s="20"/>
      <c r="L14" s="20"/>
      <c r="M14" s="20"/>
      <c r="N14" s="20"/>
    </row>
    <row r="15" customFormat="false" ht="15" hidden="false" customHeight="false" outlineLevel="0" collapsed="false">
      <c r="A15" s="20"/>
      <c r="B15" s="20"/>
      <c r="C15" s="20"/>
      <c r="D15" s="27"/>
      <c r="E15" s="20"/>
      <c r="F15" s="20"/>
      <c r="G15" s="20"/>
      <c r="H15" s="20"/>
      <c r="I15" s="20"/>
      <c r="J15" s="20"/>
      <c r="K15" s="20"/>
      <c r="L15" s="20"/>
      <c r="M15" s="20"/>
      <c r="N15" s="20"/>
    </row>
    <row r="16" customFormat="false" ht="15" hidden="false" customHeight="false" outlineLevel="0" collapsed="false">
      <c r="A16" s="20"/>
      <c r="B16" s="20"/>
      <c r="C16" s="20"/>
      <c r="D16" s="27"/>
      <c r="E16" s="20"/>
      <c r="F16" s="20"/>
      <c r="G16" s="20"/>
      <c r="H16" s="20"/>
      <c r="I16" s="20"/>
      <c r="J16" s="20"/>
      <c r="K16" s="20"/>
      <c r="L16" s="20"/>
      <c r="M16" s="20"/>
      <c r="N16" s="20"/>
    </row>
    <row r="17" customFormat="false" ht="15" hidden="false" customHeight="false" outlineLevel="0" collapsed="false">
      <c r="A17" s="20"/>
      <c r="B17" s="20"/>
      <c r="C17" s="20"/>
      <c r="D17" s="27"/>
      <c r="E17" s="20"/>
      <c r="F17" s="20"/>
      <c r="G17" s="20"/>
      <c r="H17" s="20"/>
      <c r="I17" s="20"/>
      <c r="J17" s="20"/>
      <c r="K17" s="20"/>
      <c r="L17" s="20"/>
      <c r="M17" s="20"/>
      <c r="N17" s="20"/>
    </row>
    <row r="18" customFormat="false" ht="15" hidden="false" customHeight="false" outlineLevel="0" collapsed="false">
      <c r="A18" s="20"/>
      <c r="B18" s="20"/>
      <c r="C18" s="20"/>
      <c r="D18" s="27"/>
      <c r="E18" s="20"/>
      <c r="F18" s="20"/>
      <c r="G18" s="20"/>
      <c r="H18" s="20"/>
      <c r="I18" s="20"/>
      <c r="J18" s="20"/>
      <c r="K18" s="20"/>
      <c r="L18" s="20"/>
      <c r="M18" s="20"/>
      <c r="N18" s="20"/>
    </row>
    <row r="19" customFormat="false" ht="15" hidden="false" customHeight="false" outlineLevel="0" collapsed="false">
      <c r="A19" s="20"/>
      <c r="B19" s="20"/>
      <c r="C19" s="20"/>
      <c r="D19" s="27"/>
      <c r="E19" s="20"/>
      <c r="F19" s="20"/>
      <c r="G19" s="20"/>
      <c r="H19" s="20"/>
      <c r="I19" s="20"/>
      <c r="J19" s="20"/>
      <c r="K19" s="20"/>
      <c r="L19" s="20"/>
      <c r="M19" s="20"/>
      <c r="N19" s="20"/>
    </row>
    <row r="20" customFormat="false" ht="15" hidden="false" customHeight="false" outlineLevel="0" collapsed="false">
      <c r="A20" s="20"/>
      <c r="B20" s="20"/>
      <c r="C20" s="20"/>
      <c r="D20" s="27"/>
      <c r="E20" s="20"/>
      <c r="F20" s="20"/>
      <c r="G20" s="20"/>
      <c r="H20" s="20"/>
      <c r="I20" s="20"/>
      <c r="J20" s="20"/>
      <c r="K20" s="20"/>
      <c r="L20" s="20"/>
      <c r="M20" s="20"/>
      <c r="N20" s="20"/>
    </row>
    <row r="21" customFormat="false" ht="15" hidden="false" customHeight="false" outlineLevel="0" collapsed="false">
      <c r="A21" s="20"/>
      <c r="B21" s="20"/>
      <c r="C21" s="20"/>
      <c r="D21" s="27"/>
      <c r="E21" s="20"/>
      <c r="F21" s="20"/>
      <c r="G21" s="20"/>
      <c r="H21" s="20"/>
      <c r="I21" s="20"/>
      <c r="J21" s="20"/>
      <c r="K21" s="20"/>
      <c r="L21" s="20"/>
      <c r="M21" s="20"/>
      <c r="N21" s="20"/>
    </row>
    <row r="22" customFormat="false" ht="15" hidden="false" customHeight="false" outlineLevel="0" collapsed="false">
      <c r="A22" s="20"/>
      <c r="B22" s="20"/>
      <c r="C22" s="20"/>
      <c r="D22" s="27"/>
      <c r="E22" s="20"/>
      <c r="F22" s="20"/>
      <c r="G22" s="20"/>
      <c r="H22" s="20"/>
      <c r="I22" s="20"/>
      <c r="J22" s="20"/>
      <c r="K22" s="20"/>
      <c r="L22" s="20"/>
      <c r="M22" s="20"/>
      <c r="N22" s="20"/>
    </row>
    <row r="23" customFormat="false" ht="15" hidden="false" customHeight="false" outlineLevel="0" collapsed="false">
      <c r="A23" s="20"/>
      <c r="B23" s="20"/>
      <c r="C23" s="20"/>
      <c r="D23" s="27"/>
      <c r="E23" s="20"/>
      <c r="F23" s="20"/>
      <c r="G23" s="20"/>
      <c r="H23" s="20"/>
      <c r="I23" s="20"/>
      <c r="J23" s="20"/>
      <c r="K23" s="20"/>
      <c r="L23" s="20"/>
      <c r="M23" s="20"/>
      <c r="N23" s="20"/>
    </row>
    <row r="24" customFormat="false" ht="15" hidden="false" customHeight="false" outlineLevel="0" collapsed="false">
      <c r="A24" s="20"/>
      <c r="B24" s="20"/>
      <c r="C24" s="20"/>
      <c r="D24" s="27"/>
      <c r="E24" s="20"/>
      <c r="F24" s="20"/>
      <c r="G24" s="20"/>
      <c r="H24" s="20"/>
      <c r="I24" s="20"/>
      <c r="J24" s="20"/>
      <c r="K24" s="20"/>
      <c r="L24" s="20"/>
      <c r="M24" s="20"/>
      <c r="N24" s="20"/>
    </row>
    <row r="25" customFormat="false" ht="15" hidden="false" customHeight="false" outlineLevel="0" collapsed="false">
      <c r="A25" s="20"/>
      <c r="B25" s="20"/>
      <c r="C25" s="20"/>
      <c r="D25" s="27"/>
      <c r="E25" s="20"/>
      <c r="F25" s="20"/>
      <c r="G25" s="20"/>
      <c r="H25" s="20"/>
      <c r="I25" s="20"/>
      <c r="J25" s="20"/>
      <c r="K25" s="20"/>
      <c r="L25" s="20"/>
      <c r="M25" s="20"/>
      <c r="N25" s="20"/>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V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20"/>
    <col collapsed="false" customWidth="true" hidden="false" outlineLevel="0" max="5" min="4" style="0" width="22"/>
    <col collapsed="false" customWidth="true" hidden="false" outlineLevel="0" max="8" min="6" style="0" width="18"/>
    <col collapsed="false" customWidth="true" hidden="false" outlineLevel="0" max="9" min="9" style="0" width="10"/>
    <col collapsed="false" customWidth="true" hidden="false" outlineLevel="0" max="10" min="10" style="0" width="12"/>
    <col collapsed="false" customWidth="true" hidden="false" outlineLevel="0" max="12" min="11" style="0" width="16"/>
    <col collapsed="false" customWidth="true" hidden="false" outlineLevel="0" max="13" min="13" style="0" width="20"/>
    <col collapsed="false" customWidth="true" hidden="false" outlineLevel="0" max="14" min="14" style="0" width="22"/>
    <col collapsed="false" customWidth="true" hidden="false" outlineLevel="0" max="19" min="15" style="0" width="16"/>
    <col collapsed="false" customWidth="true" hidden="false" outlineLevel="0" max="20" min="20" style="0" width="30"/>
    <col collapsed="false" customWidth="true" hidden="false" outlineLevel="0" max="21" min="21" style="0" width="16"/>
    <col collapsed="false" customWidth="true" hidden="false" outlineLevel="0" max="22" min="22" style="0" width="40"/>
  </cols>
  <sheetData>
    <row r="1" customFormat="false" ht="27.75" hidden="false" customHeight="true" outlineLevel="0" collapsed="false">
      <c r="A1" s="17" t="s">
        <v>820</v>
      </c>
      <c r="B1" s="17"/>
      <c r="C1" s="17"/>
      <c r="D1" s="17"/>
      <c r="E1" s="17"/>
      <c r="F1" s="17"/>
      <c r="G1" s="17"/>
      <c r="H1" s="17"/>
      <c r="I1" s="17"/>
      <c r="J1" s="17"/>
      <c r="K1" s="17"/>
      <c r="L1" s="17"/>
      <c r="M1" s="17"/>
      <c r="N1" s="17"/>
      <c r="O1" s="17"/>
      <c r="P1" s="17"/>
      <c r="Q1" s="17"/>
      <c r="R1" s="17"/>
      <c r="S1" s="17"/>
      <c r="T1" s="17"/>
      <c r="U1" s="17"/>
      <c r="V1" s="17"/>
    </row>
    <row r="2" customFormat="false" ht="30" hidden="false" customHeight="true" outlineLevel="0" collapsed="false">
      <c r="A2" s="18" t="s">
        <v>821</v>
      </c>
      <c r="B2" s="18" t="s">
        <v>822</v>
      </c>
      <c r="C2" s="18" t="s">
        <v>167</v>
      </c>
      <c r="D2" s="18" t="s">
        <v>823</v>
      </c>
      <c r="E2" s="18" t="s">
        <v>332</v>
      </c>
      <c r="F2" s="18" t="s">
        <v>824</v>
      </c>
      <c r="G2" s="18" t="s">
        <v>825</v>
      </c>
      <c r="H2" s="18" t="s">
        <v>826</v>
      </c>
      <c r="I2" s="18" t="s">
        <v>827</v>
      </c>
      <c r="J2" s="18" t="s">
        <v>828</v>
      </c>
      <c r="K2" s="18" t="s">
        <v>829</v>
      </c>
      <c r="L2" s="18" t="s">
        <v>830</v>
      </c>
      <c r="M2" s="18" t="s">
        <v>831</v>
      </c>
      <c r="N2" s="18" t="s">
        <v>832</v>
      </c>
      <c r="O2" s="18" t="s">
        <v>833</v>
      </c>
      <c r="P2" s="18" t="s">
        <v>834</v>
      </c>
      <c r="Q2" s="18" t="s">
        <v>337</v>
      </c>
      <c r="R2" s="18" t="s">
        <v>338</v>
      </c>
      <c r="S2" s="18" t="s">
        <v>189</v>
      </c>
      <c r="T2" s="18" t="s">
        <v>835</v>
      </c>
      <c r="U2" s="18" t="s">
        <v>836</v>
      </c>
      <c r="V2" s="18" t="s">
        <v>228</v>
      </c>
    </row>
    <row r="3" customFormat="false" ht="15" hidden="false" customHeight="false" outlineLevel="0" collapsed="false">
      <c r="A3" s="30" t="s">
        <v>837</v>
      </c>
      <c r="B3" s="30"/>
      <c r="C3" s="30"/>
      <c r="D3" s="30"/>
      <c r="E3" s="30"/>
      <c r="F3" s="30"/>
      <c r="G3" s="30"/>
      <c r="H3" s="30"/>
      <c r="I3" s="30"/>
      <c r="J3" s="30"/>
      <c r="K3" s="30"/>
      <c r="L3" s="30"/>
      <c r="M3" s="30"/>
      <c r="N3" s="30"/>
      <c r="O3" s="30"/>
      <c r="P3" s="30"/>
      <c r="Q3" s="30"/>
      <c r="R3" s="30"/>
      <c r="S3" s="30"/>
      <c r="T3" s="30"/>
      <c r="U3" s="30"/>
      <c r="V3" s="30"/>
    </row>
    <row r="4" customFormat="false" ht="15" hidden="false" customHeight="false" outlineLevel="0" collapsed="false">
      <c r="A4" s="20"/>
      <c r="B4" s="20"/>
      <c r="C4" s="20"/>
      <c r="D4" s="20"/>
      <c r="E4" s="20"/>
      <c r="F4" s="20"/>
      <c r="G4" s="20"/>
      <c r="H4" s="20"/>
      <c r="I4" s="20"/>
      <c r="J4" s="20"/>
      <c r="K4" s="20"/>
      <c r="L4" s="20"/>
      <c r="M4" s="20"/>
      <c r="N4" s="20"/>
      <c r="O4" s="20"/>
      <c r="P4" s="20"/>
      <c r="Q4" s="27"/>
      <c r="R4" s="27"/>
      <c r="S4" s="20"/>
      <c r="T4" s="20"/>
      <c r="U4" s="20"/>
      <c r="V4" s="20"/>
    </row>
    <row r="5" customFormat="false" ht="15" hidden="false" customHeight="false" outlineLevel="0" collapsed="false">
      <c r="A5" s="20"/>
      <c r="B5" s="20"/>
      <c r="C5" s="20"/>
      <c r="D5" s="20"/>
      <c r="E5" s="20"/>
      <c r="F5" s="20"/>
      <c r="G5" s="20"/>
      <c r="H5" s="20"/>
      <c r="I5" s="20"/>
      <c r="J5" s="20"/>
      <c r="K5" s="20"/>
      <c r="L5" s="20"/>
      <c r="M5" s="20"/>
      <c r="N5" s="20"/>
      <c r="O5" s="20"/>
      <c r="P5" s="20"/>
      <c r="Q5" s="27"/>
      <c r="R5" s="27"/>
      <c r="S5" s="20"/>
      <c r="T5" s="20"/>
      <c r="U5" s="20"/>
      <c r="V5" s="20"/>
    </row>
    <row r="6" customFormat="false" ht="15" hidden="false" customHeight="false" outlineLevel="0" collapsed="false">
      <c r="A6" s="20"/>
      <c r="B6" s="20"/>
      <c r="C6" s="20"/>
      <c r="D6" s="20"/>
      <c r="E6" s="20"/>
      <c r="F6" s="20"/>
      <c r="G6" s="20"/>
      <c r="H6" s="20"/>
      <c r="I6" s="20"/>
      <c r="J6" s="20"/>
      <c r="K6" s="20"/>
      <c r="L6" s="20"/>
      <c r="M6" s="20"/>
      <c r="N6" s="20"/>
      <c r="O6" s="20"/>
      <c r="P6" s="20"/>
      <c r="Q6" s="27"/>
      <c r="R6" s="27"/>
      <c r="S6" s="20"/>
      <c r="T6" s="20"/>
      <c r="U6" s="20"/>
      <c r="V6" s="20"/>
    </row>
    <row r="7" customFormat="false" ht="15" hidden="false" customHeight="false" outlineLevel="0" collapsed="false">
      <c r="A7" s="20"/>
      <c r="B7" s="20"/>
      <c r="C7" s="20"/>
      <c r="D7" s="20"/>
      <c r="E7" s="20"/>
      <c r="F7" s="20"/>
      <c r="G7" s="20"/>
      <c r="H7" s="20"/>
      <c r="I7" s="20"/>
      <c r="J7" s="20"/>
      <c r="K7" s="20"/>
      <c r="L7" s="20"/>
      <c r="M7" s="20"/>
      <c r="N7" s="20"/>
      <c r="O7" s="20"/>
      <c r="P7" s="20"/>
      <c r="Q7" s="27"/>
      <c r="R7" s="27"/>
      <c r="S7" s="20"/>
      <c r="T7" s="20"/>
      <c r="U7" s="20"/>
      <c r="V7" s="20"/>
    </row>
    <row r="8" customFormat="false" ht="15" hidden="false" customHeight="false" outlineLevel="0" collapsed="false">
      <c r="A8" s="20"/>
      <c r="B8" s="20"/>
      <c r="C8" s="20"/>
      <c r="D8" s="20"/>
      <c r="E8" s="20"/>
      <c r="F8" s="20"/>
      <c r="G8" s="20"/>
      <c r="H8" s="20"/>
      <c r="I8" s="20"/>
      <c r="J8" s="20"/>
      <c r="K8" s="20"/>
      <c r="L8" s="20"/>
      <c r="M8" s="20"/>
      <c r="N8" s="20"/>
      <c r="O8" s="20"/>
      <c r="P8" s="20"/>
      <c r="Q8" s="27"/>
      <c r="R8" s="27"/>
      <c r="S8" s="20"/>
      <c r="T8" s="20"/>
      <c r="U8" s="20"/>
      <c r="V8" s="20"/>
    </row>
    <row r="9" customFormat="false" ht="15" hidden="false" customHeight="false" outlineLevel="0" collapsed="false">
      <c r="A9" s="20"/>
      <c r="B9" s="20"/>
      <c r="C9" s="20"/>
      <c r="D9" s="20"/>
      <c r="E9" s="20"/>
      <c r="F9" s="20"/>
      <c r="G9" s="20"/>
      <c r="H9" s="20"/>
      <c r="I9" s="20"/>
      <c r="J9" s="20"/>
      <c r="K9" s="20"/>
      <c r="L9" s="20"/>
      <c r="M9" s="20"/>
      <c r="N9" s="20"/>
      <c r="O9" s="20"/>
      <c r="P9" s="20"/>
      <c r="Q9" s="27"/>
      <c r="R9" s="27"/>
      <c r="S9" s="20"/>
      <c r="T9" s="20"/>
      <c r="U9" s="20"/>
      <c r="V9" s="20"/>
    </row>
    <row r="10" customFormat="false" ht="15" hidden="false" customHeight="false" outlineLevel="0" collapsed="false">
      <c r="A10" s="20"/>
      <c r="B10" s="20"/>
      <c r="C10" s="20"/>
      <c r="D10" s="20"/>
      <c r="E10" s="20"/>
      <c r="F10" s="20"/>
      <c r="G10" s="20"/>
      <c r="H10" s="20"/>
      <c r="I10" s="20"/>
      <c r="J10" s="20"/>
      <c r="K10" s="20"/>
      <c r="L10" s="20"/>
      <c r="M10" s="20"/>
      <c r="N10" s="20"/>
      <c r="O10" s="20"/>
      <c r="P10" s="20"/>
      <c r="Q10" s="27"/>
      <c r="R10" s="27"/>
      <c r="S10" s="20"/>
      <c r="T10" s="20"/>
      <c r="U10" s="20"/>
      <c r="V10" s="20"/>
    </row>
    <row r="11" customFormat="false" ht="15" hidden="false" customHeight="false" outlineLevel="0" collapsed="false">
      <c r="A11" s="20"/>
      <c r="B11" s="20"/>
      <c r="C11" s="20"/>
      <c r="D11" s="20"/>
      <c r="E11" s="20"/>
      <c r="F11" s="20"/>
      <c r="G11" s="20"/>
      <c r="H11" s="20"/>
      <c r="I11" s="20"/>
      <c r="J11" s="20"/>
      <c r="K11" s="20"/>
      <c r="L11" s="20"/>
      <c r="M11" s="20"/>
      <c r="N11" s="20"/>
      <c r="O11" s="20"/>
      <c r="P11" s="20"/>
      <c r="Q11" s="27"/>
      <c r="R11" s="27"/>
      <c r="S11" s="20"/>
      <c r="T11" s="20"/>
      <c r="U11" s="20"/>
      <c r="V11" s="20"/>
    </row>
    <row r="12" customFormat="false" ht="15" hidden="false" customHeight="false" outlineLevel="0" collapsed="false">
      <c r="A12" s="20"/>
      <c r="B12" s="20"/>
      <c r="C12" s="20"/>
      <c r="D12" s="20"/>
      <c r="E12" s="20"/>
      <c r="F12" s="20"/>
      <c r="G12" s="20"/>
      <c r="H12" s="20"/>
      <c r="I12" s="20"/>
      <c r="J12" s="20"/>
      <c r="K12" s="20"/>
      <c r="L12" s="20"/>
      <c r="M12" s="20"/>
      <c r="N12" s="20"/>
      <c r="O12" s="20"/>
      <c r="P12" s="20"/>
      <c r="Q12" s="27"/>
      <c r="R12" s="27"/>
      <c r="S12" s="20"/>
      <c r="T12" s="20"/>
      <c r="U12" s="20"/>
      <c r="V12" s="20"/>
    </row>
    <row r="13" customFormat="false" ht="15" hidden="false" customHeight="false" outlineLevel="0" collapsed="false">
      <c r="A13" s="20"/>
      <c r="B13" s="20"/>
      <c r="C13" s="20"/>
      <c r="D13" s="20"/>
      <c r="E13" s="20"/>
      <c r="F13" s="20"/>
      <c r="G13" s="20"/>
      <c r="H13" s="20"/>
      <c r="I13" s="20"/>
      <c r="J13" s="20"/>
      <c r="K13" s="20"/>
      <c r="L13" s="20"/>
      <c r="M13" s="20"/>
      <c r="N13" s="20"/>
      <c r="O13" s="20"/>
      <c r="P13" s="20"/>
      <c r="Q13" s="27"/>
      <c r="R13" s="27"/>
      <c r="S13" s="20"/>
      <c r="T13" s="20"/>
      <c r="U13" s="20"/>
      <c r="V13" s="20"/>
    </row>
    <row r="14" customFormat="false" ht="15" hidden="false" customHeight="false" outlineLevel="0" collapsed="false">
      <c r="A14" s="20"/>
      <c r="B14" s="20"/>
      <c r="C14" s="20"/>
      <c r="D14" s="20"/>
      <c r="E14" s="20"/>
      <c r="F14" s="20"/>
      <c r="G14" s="20"/>
      <c r="H14" s="20"/>
      <c r="I14" s="20"/>
      <c r="J14" s="20"/>
      <c r="K14" s="20"/>
      <c r="L14" s="20"/>
      <c r="M14" s="20"/>
      <c r="N14" s="20"/>
      <c r="O14" s="20"/>
      <c r="P14" s="20"/>
      <c r="Q14" s="27"/>
      <c r="R14" s="27"/>
      <c r="S14" s="20"/>
      <c r="T14" s="20"/>
      <c r="U14" s="20"/>
      <c r="V14" s="20"/>
    </row>
    <row r="15" customFormat="false" ht="15" hidden="false" customHeight="false" outlineLevel="0" collapsed="false">
      <c r="A15" s="20"/>
      <c r="B15" s="20"/>
      <c r="C15" s="20"/>
      <c r="D15" s="20"/>
      <c r="E15" s="20"/>
      <c r="F15" s="20"/>
      <c r="G15" s="20"/>
      <c r="H15" s="20"/>
      <c r="I15" s="20"/>
      <c r="J15" s="20"/>
      <c r="K15" s="20"/>
      <c r="L15" s="20"/>
      <c r="M15" s="20"/>
      <c r="N15" s="20"/>
      <c r="O15" s="20"/>
      <c r="P15" s="20"/>
      <c r="Q15" s="27"/>
      <c r="R15" s="27"/>
      <c r="S15" s="20"/>
      <c r="T15" s="20"/>
      <c r="U15" s="20"/>
      <c r="V15" s="20"/>
    </row>
    <row r="16" customFormat="false" ht="15" hidden="false" customHeight="false" outlineLevel="0" collapsed="false">
      <c r="A16" s="20"/>
      <c r="B16" s="20"/>
      <c r="C16" s="20"/>
      <c r="D16" s="20"/>
      <c r="E16" s="20"/>
      <c r="F16" s="20"/>
      <c r="G16" s="20"/>
      <c r="H16" s="20"/>
      <c r="I16" s="20"/>
      <c r="J16" s="20"/>
      <c r="K16" s="20"/>
      <c r="L16" s="20"/>
      <c r="M16" s="20"/>
      <c r="N16" s="20"/>
      <c r="O16" s="20"/>
      <c r="P16" s="20"/>
      <c r="Q16" s="27"/>
      <c r="R16" s="27"/>
      <c r="S16" s="20"/>
      <c r="T16" s="20"/>
      <c r="U16" s="20"/>
      <c r="V16" s="20"/>
    </row>
    <row r="17" customFormat="false" ht="15" hidden="false" customHeight="false" outlineLevel="0" collapsed="false">
      <c r="A17" s="20"/>
      <c r="B17" s="20"/>
      <c r="C17" s="20"/>
      <c r="D17" s="20"/>
      <c r="E17" s="20"/>
      <c r="F17" s="20"/>
      <c r="G17" s="20"/>
      <c r="H17" s="20"/>
      <c r="I17" s="20"/>
      <c r="J17" s="20"/>
      <c r="K17" s="20"/>
      <c r="L17" s="20"/>
      <c r="M17" s="20"/>
      <c r="N17" s="20"/>
      <c r="O17" s="20"/>
      <c r="P17" s="20"/>
      <c r="Q17" s="27"/>
      <c r="R17" s="27"/>
      <c r="S17" s="20"/>
      <c r="T17" s="20"/>
      <c r="U17" s="20"/>
      <c r="V17" s="20"/>
    </row>
    <row r="18" customFormat="false" ht="15" hidden="false" customHeight="false" outlineLevel="0" collapsed="false">
      <c r="A18" s="20"/>
      <c r="B18" s="20"/>
      <c r="C18" s="20"/>
      <c r="D18" s="20"/>
      <c r="E18" s="20"/>
      <c r="F18" s="20"/>
      <c r="G18" s="20"/>
      <c r="H18" s="20"/>
      <c r="I18" s="20"/>
      <c r="J18" s="20"/>
      <c r="K18" s="20"/>
      <c r="L18" s="20"/>
      <c r="M18" s="20"/>
      <c r="N18" s="20"/>
      <c r="O18" s="20"/>
      <c r="P18" s="20"/>
      <c r="Q18" s="27"/>
      <c r="R18" s="27"/>
      <c r="S18" s="20"/>
      <c r="T18" s="20"/>
      <c r="U18" s="20"/>
      <c r="V18" s="20"/>
    </row>
    <row r="19" customFormat="false" ht="15" hidden="false" customHeight="false" outlineLevel="0" collapsed="false">
      <c r="A19" s="20"/>
      <c r="B19" s="20"/>
      <c r="C19" s="20"/>
      <c r="D19" s="20"/>
      <c r="E19" s="20"/>
      <c r="F19" s="20"/>
      <c r="G19" s="20"/>
      <c r="H19" s="20"/>
      <c r="I19" s="20"/>
      <c r="J19" s="20"/>
      <c r="K19" s="20"/>
      <c r="L19" s="20"/>
      <c r="M19" s="20"/>
      <c r="N19" s="20"/>
      <c r="O19" s="20"/>
      <c r="P19" s="20"/>
      <c r="Q19" s="27"/>
      <c r="R19" s="27"/>
      <c r="S19" s="20"/>
      <c r="T19" s="20"/>
      <c r="U19" s="20"/>
      <c r="V19" s="20"/>
    </row>
    <row r="20" customFormat="false" ht="15" hidden="false" customHeight="false" outlineLevel="0" collapsed="false">
      <c r="A20" s="20"/>
      <c r="B20" s="20"/>
      <c r="C20" s="20"/>
      <c r="D20" s="20"/>
      <c r="E20" s="20"/>
      <c r="F20" s="20"/>
      <c r="G20" s="20"/>
      <c r="H20" s="20"/>
      <c r="I20" s="20"/>
      <c r="J20" s="20"/>
      <c r="K20" s="20"/>
      <c r="L20" s="20"/>
      <c r="M20" s="20"/>
      <c r="N20" s="20"/>
      <c r="O20" s="20"/>
      <c r="P20" s="20"/>
      <c r="Q20" s="27"/>
      <c r="R20" s="27"/>
      <c r="S20" s="20"/>
      <c r="T20" s="20"/>
      <c r="U20" s="20"/>
      <c r="V20" s="20"/>
    </row>
    <row r="21" customFormat="false" ht="15" hidden="false" customHeight="false" outlineLevel="0" collapsed="false">
      <c r="A21" s="20"/>
      <c r="B21" s="20"/>
      <c r="C21" s="20"/>
      <c r="D21" s="20"/>
      <c r="E21" s="20"/>
      <c r="F21" s="20"/>
      <c r="G21" s="20"/>
      <c r="H21" s="20"/>
      <c r="I21" s="20"/>
      <c r="J21" s="20"/>
      <c r="K21" s="20"/>
      <c r="L21" s="20"/>
      <c r="M21" s="20"/>
      <c r="N21" s="20"/>
      <c r="O21" s="20"/>
      <c r="P21" s="20"/>
      <c r="Q21" s="27"/>
      <c r="R21" s="27"/>
      <c r="S21" s="20"/>
      <c r="T21" s="20"/>
      <c r="U21" s="20"/>
      <c r="V21" s="20"/>
    </row>
    <row r="22" customFormat="false" ht="15" hidden="false" customHeight="false" outlineLevel="0" collapsed="false">
      <c r="A22" s="20"/>
      <c r="B22" s="20"/>
      <c r="C22" s="20"/>
      <c r="D22" s="20"/>
      <c r="E22" s="20"/>
      <c r="F22" s="20"/>
      <c r="G22" s="20"/>
      <c r="H22" s="20"/>
      <c r="I22" s="20"/>
      <c r="J22" s="20"/>
      <c r="K22" s="20"/>
      <c r="L22" s="20"/>
      <c r="M22" s="20"/>
      <c r="N22" s="20"/>
      <c r="O22" s="20"/>
      <c r="P22" s="20"/>
      <c r="Q22" s="27"/>
      <c r="R22" s="27"/>
      <c r="S22" s="20"/>
      <c r="T22" s="20"/>
      <c r="U22" s="20"/>
      <c r="V22" s="20"/>
    </row>
    <row r="23" customFormat="false" ht="15" hidden="false" customHeight="false" outlineLevel="0" collapsed="false">
      <c r="A23" s="20"/>
      <c r="B23" s="20"/>
      <c r="C23" s="20"/>
      <c r="D23" s="20"/>
      <c r="E23" s="20"/>
      <c r="F23" s="20"/>
      <c r="G23" s="20"/>
      <c r="H23" s="20"/>
      <c r="I23" s="20"/>
      <c r="J23" s="20"/>
      <c r="K23" s="20"/>
      <c r="L23" s="20"/>
      <c r="M23" s="20"/>
      <c r="N23" s="20"/>
      <c r="O23" s="20"/>
      <c r="P23" s="20"/>
      <c r="Q23" s="27"/>
      <c r="R23" s="27"/>
      <c r="S23" s="20"/>
      <c r="T23" s="20"/>
      <c r="U23" s="20"/>
      <c r="V23" s="20"/>
    </row>
    <row r="24" customFormat="false" ht="15" hidden="false" customHeight="false" outlineLevel="0" collapsed="false">
      <c r="A24" s="20"/>
      <c r="B24" s="20"/>
      <c r="C24" s="20"/>
      <c r="D24" s="20"/>
      <c r="E24" s="20"/>
      <c r="F24" s="20"/>
      <c r="G24" s="20"/>
      <c r="H24" s="20"/>
      <c r="I24" s="20"/>
      <c r="J24" s="20"/>
      <c r="K24" s="20"/>
      <c r="L24" s="20"/>
      <c r="M24" s="20"/>
      <c r="N24" s="20"/>
      <c r="O24" s="20"/>
      <c r="P24" s="20"/>
      <c r="Q24" s="27"/>
      <c r="R24" s="27"/>
      <c r="S24" s="20"/>
      <c r="T24" s="20"/>
      <c r="U24" s="20"/>
      <c r="V24" s="20"/>
    </row>
    <row r="25" customFormat="false" ht="15" hidden="false" customHeight="false" outlineLevel="0" collapsed="false">
      <c r="A25" s="20"/>
      <c r="B25" s="20"/>
      <c r="C25" s="20"/>
      <c r="D25" s="20"/>
      <c r="E25" s="20"/>
      <c r="F25" s="20"/>
      <c r="G25" s="20"/>
      <c r="H25" s="20"/>
      <c r="I25" s="20"/>
      <c r="J25" s="20"/>
      <c r="K25" s="20"/>
      <c r="L25" s="20"/>
      <c r="M25" s="20"/>
      <c r="N25" s="20"/>
      <c r="O25" s="20"/>
      <c r="P25" s="20"/>
      <c r="Q25" s="27"/>
      <c r="R25" s="27"/>
      <c r="S25" s="20"/>
      <c r="T25" s="20"/>
      <c r="U25" s="20"/>
      <c r="V25" s="20"/>
    </row>
    <row r="26" customFormat="false" ht="15" hidden="false" customHeight="false" outlineLevel="0" collapsed="false">
      <c r="A26" s="20"/>
      <c r="B26" s="20"/>
      <c r="C26" s="20"/>
      <c r="D26" s="20"/>
      <c r="E26" s="20"/>
      <c r="F26" s="20"/>
      <c r="G26" s="20"/>
      <c r="H26" s="20"/>
      <c r="I26" s="20"/>
      <c r="J26" s="20"/>
      <c r="K26" s="20"/>
      <c r="L26" s="20"/>
      <c r="M26" s="20"/>
      <c r="N26" s="20"/>
      <c r="O26" s="20"/>
      <c r="P26" s="20"/>
      <c r="Q26" s="27"/>
      <c r="R26" s="27"/>
      <c r="S26" s="20"/>
      <c r="T26" s="20"/>
      <c r="U26" s="20"/>
      <c r="V26" s="20"/>
    </row>
    <row r="27" customFormat="false" ht="15" hidden="false" customHeight="false" outlineLevel="0" collapsed="false">
      <c r="A27" s="20"/>
      <c r="B27" s="20"/>
      <c r="C27" s="20"/>
      <c r="D27" s="20"/>
      <c r="E27" s="20"/>
      <c r="F27" s="20"/>
      <c r="G27" s="20"/>
      <c r="H27" s="20"/>
      <c r="I27" s="20"/>
      <c r="J27" s="20"/>
      <c r="K27" s="20"/>
      <c r="L27" s="20"/>
      <c r="M27" s="20"/>
      <c r="N27" s="20"/>
      <c r="O27" s="20"/>
      <c r="P27" s="20"/>
      <c r="Q27" s="27"/>
      <c r="R27" s="27"/>
      <c r="S27" s="20"/>
      <c r="T27" s="20"/>
      <c r="U27" s="20"/>
      <c r="V27" s="20"/>
    </row>
    <row r="28" customFormat="false" ht="15" hidden="false" customHeight="false" outlineLevel="0" collapsed="false">
      <c r="A28" s="20"/>
      <c r="B28" s="20"/>
      <c r="C28" s="20"/>
      <c r="D28" s="20"/>
      <c r="E28" s="20"/>
      <c r="F28" s="20"/>
      <c r="G28" s="20"/>
      <c r="H28" s="20"/>
      <c r="I28" s="20"/>
      <c r="J28" s="20"/>
      <c r="K28" s="20"/>
      <c r="L28" s="20"/>
      <c r="M28" s="20"/>
      <c r="N28" s="20"/>
      <c r="O28" s="20"/>
      <c r="P28" s="20"/>
      <c r="Q28" s="27"/>
      <c r="R28" s="27"/>
      <c r="S28" s="20"/>
      <c r="T28" s="20"/>
      <c r="U28" s="20"/>
      <c r="V28" s="20"/>
    </row>
    <row r="29" customFormat="false" ht="15" hidden="false" customHeight="false" outlineLevel="0" collapsed="false">
      <c r="A29" s="20"/>
      <c r="B29" s="20"/>
      <c r="C29" s="20"/>
      <c r="D29" s="20"/>
      <c r="E29" s="20"/>
      <c r="F29" s="20"/>
      <c r="G29" s="20"/>
      <c r="H29" s="20"/>
      <c r="I29" s="20"/>
      <c r="J29" s="20"/>
      <c r="K29" s="20"/>
      <c r="L29" s="20"/>
      <c r="M29" s="20"/>
      <c r="N29" s="20"/>
      <c r="O29" s="20"/>
      <c r="P29" s="20"/>
      <c r="Q29" s="27"/>
      <c r="R29" s="27"/>
      <c r="S29" s="20"/>
      <c r="T29" s="20"/>
      <c r="U29" s="20"/>
      <c r="V29" s="20"/>
    </row>
    <row r="30" customFormat="false" ht="15" hidden="false" customHeight="false" outlineLevel="0" collapsed="false">
      <c r="A30" s="20"/>
      <c r="B30" s="20"/>
      <c r="C30" s="20"/>
      <c r="D30" s="20"/>
      <c r="E30" s="20"/>
      <c r="F30" s="20"/>
      <c r="G30" s="20"/>
      <c r="H30" s="20"/>
      <c r="I30" s="20"/>
      <c r="J30" s="20"/>
      <c r="K30" s="20"/>
      <c r="L30" s="20"/>
      <c r="M30" s="20"/>
      <c r="N30" s="20"/>
      <c r="O30" s="20"/>
      <c r="P30" s="20"/>
      <c r="Q30" s="27"/>
      <c r="R30" s="27"/>
      <c r="S30" s="20"/>
      <c r="T30" s="20"/>
      <c r="U30" s="20"/>
      <c r="V30" s="20"/>
    </row>
    <row r="31" customFormat="false" ht="15" hidden="false" customHeight="false" outlineLevel="0" collapsed="false">
      <c r="A31" s="20"/>
      <c r="B31" s="20"/>
      <c r="C31" s="20"/>
      <c r="D31" s="20"/>
      <c r="E31" s="20"/>
      <c r="F31" s="20"/>
      <c r="G31" s="20"/>
      <c r="H31" s="20"/>
      <c r="I31" s="20"/>
      <c r="J31" s="20"/>
      <c r="K31" s="20"/>
      <c r="L31" s="20"/>
      <c r="M31" s="20"/>
      <c r="N31" s="20"/>
      <c r="O31" s="20"/>
      <c r="P31" s="20"/>
      <c r="Q31" s="27"/>
      <c r="R31" s="27"/>
      <c r="S31" s="20"/>
      <c r="T31" s="20"/>
      <c r="U31" s="20"/>
      <c r="V31" s="20"/>
    </row>
    <row r="32" customFormat="false" ht="15" hidden="false" customHeight="false" outlineLevel="0" collapsed="false">
      <c r="A32" s="20"/>
      <c r="B32" s="20"/>
      <c r="C32" s="20"/>
      <c r="D32" s="20"/>
      <c r="E32" s="20"/>
      <c r="F32" s="20"/>
      <c r="G32" s="20"/>
      <c r="H32" s="20"/>
      <c r="I32" s="20"/>
      <c r="J32" s="20"/>
      <c r="K32" s="20"/>
      <c r="L32" s="20"/>
      <c r="M32" s="20"/>
      <c r="N32" s="20"/>
      <c r="O32" s="20"/>
      <c r="P32" s="20"/>
      <c r="Q32" s="27"/>
      <c r="R32" s="27"/>
      <c r="S32" s="20"/>
      <c r="T32" s="20"/>
      <c r="U32" s="20"/>
      <c r="V32" s="20"/>
    </row>
    <row r="33" customFormat="false" ht="15" hidden="false" customHeight="false" outlineLevel="0" collapsed="false">
      <c r="A33" s="20"/>
      <c r="B33" s="20"/>
      <c r="C33" s="20"/>
      <c r="D33" s="20"/>
      <c r="E33" s="20"/>
      <c r="F33" s="20"/>
      <c r="G33" s="20"/>
      <c r="H33" s="20"/>
      <c r="I33" s="20"/>
      <c r="J33" s="20"/>
      <c r="K33" s="20"/>
      <c r="L33" s="20"/>
      <c r="M33" s="20"/>
      <c r="N33" s="20"/>
      <c r="O33" s="20"/>
      <c r="P33" s="20"/>
      <c r="Q33" s="27"/>
      <c r="R33" s="27"/>
      <c r="S33" s="20"/>
      <c r="T33" s="20"/>
      <c r="U33" s="20"/>
      <c r="V33" s="20"/>
    </row>
  </sheetData>
  <mergeCells count="2">
    <mergeCell ref="A1:V1"/>
    <mergeCell ref="A3:V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480E"/>
    <pageSetUpPr fitToPage="false"/>
  </sheetPr>
  <dimension ref="A1:R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40"/>
    <col collapsed="false" customWidth="true" hidden="false" outlineLevel="0" max="5" min="4" style="0" width="20"/>
    <col collapsed="false" customWidth="true" hidden="false" outlineLevel="0" max="7" min="6" style="0" width="22"/>
    <col collapsed="false" customWidth="true" hidden="false" outlineLevel="0" max="8" min="8" style="0" width="20"/>
    <col collapsed="false" customWidth="true" hidden="false" outlineLevel="0" max="9" min="9" style="0" width="18"/>
    <col collapsed="false" customWidth="true" hidden="false" outlineLevel="0" max="10" min="10" style="0" width="40"/>
    <col collapsed="false" customWidth="true" hidden="false" outlineLevel="0" max="12" min="11" style="0" width="14"/>
    <col collapsed="false" customWidth="true" hidden="false" outlineLevel="0" max="13" min="13" style="0" width="16"/>
    <col collapsed="false" customWidth="true" hidden="false" outlineLevel="0" max="14" min="14" style="0" width="18"/>
    <col collapsed="false" customWidth="true" hidden="false" outlineLevel="0" max="15" min="15" style="0" width="30"/>
    <col collapsed="false" customWidth="true" hidden="false" outlineLevel="0" max="16" min="16" style="0" width="16"/>
    <col collapsed="false" customWidth="true" hidden="false" outlineLevel="0" max="17" min="17" style="0" width="14"/>
    <col collapsed="false" customWidth="true" hidden="false" outlineLevel="0" max="18" min="18" style="0" width="30"/>
  </cols>
  <sheetData>
    <row r="1" customFormat="false" ht="27.75" hidden="false" customHeight="true" outlineLevel="0" collapsed="false">
      <c r="A1" s="17" t="s">
        <v>838</v>
      </c>
      <c r="B1" s="17"/>
      <c r="C1" s="17"/>
      <c r="D1" s="17"/>
      <c r="E1" s="17"/>
      <c r="F1" s="17"/>
      <c r="G1" s="17"/>
      <c r="H1" s="17"/>
      <c r="I1" s="17"/>
      <c r="J1" s="17"/>
      <c r="K1" s="17"/>
      <c r="L1" s="17"/>
      <c r="M1" s="17"/>
      <c r="N1" s="17"/>
      <c r="O1" s="17"/>
      <c r="P1" s="17"/>
      <c r="Q1" s="17"/>
      <c r="R1" s="17"/>
    </row>
    <row r="2" customFormat="false" ht="30" hidden="false" customHeight="true" outlineLevel="0" collapsed="false">
      <c r="A2" s="18" t="s">
        <v>839</v>
      </c>
      <c r="B2" s="18" t="s">
        <v>840</v>
      </c>
      <c r="C2" s="18" t="s">
        <v>841</v>
      </c>
      <c r="D2" s="18" t="s">
        <v>842</v>
      </c>
      <c r="E2" s="18" t="s">
        <v>167</v>
      </c>
      <c r="F2" s="18" t="s">
        <v>843</v>
      </c>
      <c r="G2" s="18" t="s">
        <v>832</v>
      </c>
      <c r="H2" s="18" t="s">
        <v>844</v>
      </c>
      <c r="I2" s="18" t="s">
        <v>845</v>
      </c>
      <c r="J2" s="18" t="s">
        <v>846</v>
      </c>
      <c r="K2" s="18" t="s">
        <v>847</v>
      </c>
      <c r="L2" s="18" t="s">
        <v>848</v>
      </c>
      <c r="M2" s="18" t="s">
        <v>849</v>
      </c>
      <c r="N2" s="18" t="s">
        <v>189</v>
      </c>
      <c r="O2" s="18" t="s">
        <v>850</v>
      </c>
      <c r="P2" s="18" t="s">
        <v>851</v>
      </c>
      <c r="Q2" s="18" t="s">
        <v>273</v>
      </c>
      <c r="R2" s="18" t="s">
        <v>852</v>
      </c>
    </row>
    <row r="3" customFormat="false" ht="15" hidden="false" customHeight="false" outlineLevel="0" collapsed="false">
      <c r="A3" s="30" t="s">
        <v>853</v>
      </c>
      <c r="B3" s="30"/>
      <c r="C3" s="30"/>
      <c r="D3" s="30"/>
      <c r="E3" s="30"/>
      <c r="F3" s="30"/>
      <c r="G3" s="30"/>
      <c r="H3" s="30"/>
      <c r="I3" s="30"/>
      <c r="J3" s="30"/>
      <c r="K3" s="30"/>
      <c r="L3" s="30"/>
      <c r="M3" s="30"/>
      <c r="N3" s="30"/>
      <c r="O3" s="30"/>
      <c r="P3" s="30"/>
      <c r="Q3" s="30"/>
      <c r="R3" s="30"/>
    </row>
    <row r="4" customFormat="false" ht="15" hidden="false" customHeight="false" outlineLevel="0" collapsed="false">
      <c r="A4" s="20"/>
      <c r="B4" s="20"/>
      <c r="C4" s="20"/>
      <c r="D4" s="20"/>
      <c r="E4" s="20"/>
      <c r="F4" s="20"/>
      <c r="G4" s="20"/>
      <c r="H4" s="20"/>
      <c r="I4" s="20"/>
      <c r="J4" s="20"/>
      <c r="K4" s="20"/>
      <c r="L4" s="20"/>
      <c r="M4" s="20"/>
      <c r="N4" s="20"/>
      <c r="O4" s="20"/>
      <c r="P4" s="20"/>
      <c r="Q4" s="20"/>
      <c r="R4" s="20"/>
    </row>
    <row r="5" customFormat="false" ht="15" hidden="false" customHeight="false" outlineLevel="0" collapsed="false">
      <c r="A5" s="20"/>
      <c r="B5" s="20"/>
      <c r="C5" s="20"/>
      <c r="D5" s="20"/>
      <c r="E5" s="20"/>
      <c r="F5" s="20"/>
      <c r="G5" s="20"/>
      <c r="H5" s="20"/>
      <c r="I5" s="20"/>
      <c r="J5" s="20"/>
      <c r="K5" s="20"/>
      <c r="L5" s="20"/>
      <c r="M5" s="20"/>
      <c r="N5" s="20"/>
      <c r="O5" s="20"/>
      <c r="P5" s="20"/>
      <c r="Q5" s="20"/>
      <c r="R5" s="20"/>
    </row>
    <row r="6" customFormat="false" ht="15" hidden="false" customHeight="false" outlineLevel="0" collapsed="false">
      <c r="A6" s="20"/>
      <c r="B6" s="20"/>
      <c r="C6" s="20"/>
      <c r="D6" s="20"/>
      <c r="E6" s="20"/>
      <c r="F6" s="20"/>
      <c r="G6" s="20"/>
      <c r="H6" s="20"/>
      <c r="I6" s="20"/>
      <c r="J6" s="20"/>
      <c r="K6" s="20"/>
      <c r="L6" s="20"/>
      <c r="M6" s="20"/>
      <c r="N6" s="20"/>
      <c r="O6" s="20"/>
      <c r="P6" s="20"/>
      <c r="Q6" s="20"/>
      <c r="R6" s="20"/>
    </row>
    <row r="7" customFormat="false" ht="15" hidden="false" customHeight="false" outlineLevel="0" collapsed="false">
      <c r="A7" s="20"/>
      <c r="B7" s="20"/>
      <c r="C7" s="20"/>
      <c r="D7" s="20"/>
      <c r="E7" s="20"/>
      <c r="F7" s="20"/>
      <c r="G7" s="20"/>
      <c r="H7" s="20"/>
      <c r="I7" s="20"/>
      <c r="J7" s="20"/>
      <c r="K7" s="20"/>
      <c r="L7" s="20"/>
      <c r="M7" s="20"/>
      <c r="N7" s="20"/>
      <c r="O7" s="20"/>
      <c r="P7" s="20"/>
      <c r="Q7" s="20"/>
      <c r="R7" s="20"/>
    </row>
    <row r="8" customFormat="false" ht="15" hidden="false" customHeight="false" outlineLevel="0" collapsed="false">
      <c r="A8" s="20"/>
      <c r="B8" s="20"/>
      <c r="C8" s="20"/>
      <c r="D8" s="20"/>
      <c r="E8" s="20"/>
      <c r="F8" s="20"/>
      <c r="G8" s="20"/>
      <c r="H8" s="20"/>
      <c r="I8" s="20"/>
      <c r="J8" s="20"/>
      <c r="K8" s="20"/>
      <c r="L8" s="20"/>
      <c r="M8" s="20"/>
      <c r="N8" s="20"/>
      <c r="O8" s="20"/>
      <c r="P8" s="20"/>
      <c r="Q8" s="20"/>
      <c r="R8" s="20"/>
    </row>
    <row r="9" customFormat="false" ht="15" hidden="false" customHeight="false" outlineLevel="0" collapsed="false">
      <c r="A9" s="20"/>
      <c r="B9" s="20"/>
      <c r="C9" s="20"/>
      <c r="D9" s="20"/>
      <c r="E9" s="20"/>
      <c r="F9" s="20"/>
      <c r="G9" s="20"/>
      <c r="H9" s="20"/>
      <c r="I9" s="20"/>
      <c r="J9" s="20"/>
      <c r="K9" s="20"/>
      <c r="L9" s="20"/>
      <c r="M9" s="20"/>
      <c r="N9" s="20"/>
      <c r="O9" s="20"/>
      <c r="P9" s="20"/>
      <c r="Q9" s="20"/>
      <c r="R9" s="20"/>
    </row>
    <row r="10" customFormat="false" ht="15" hidden="false" customHeight="false" outlineLevel="0" collapsed="false">
      <c r="A10" s="20"/>
      <c r="B10" s="20"/>
      <c r="C10" s="20"/>
      <c r="D10" s="20"/>
      <c r="E10" s="20"/>
      <c r="F10" s="20"/>
      <c r="G10" s="20"/>
      <c r="H10" s="20"/>
      <c r="I10" s="20"/>
      <c r="J10" s="20"/>
      <c r="K10" s="20"/>
      <c r="L10" s="20"/>
      <c r="M10" s="20"/>
      <c r="N10" s="20"/>
      <c r="O10" s="20"/>
      <c r="P10" s="20"/>
      <c r="Q10" s="20"/>
      <c r="R10" s="20"/>
    </row>
    <row r="11" customFormat="false" ht="15" hidden="false" customHeight="false" outlineLevel="0" collapsed="false">
      <c r="A11" s="20"/>
      <c r="B11" s="20"/>
      <c r="C11" s="20"/>
      <c r="D11" s="20"/>
      <c r="E11" s="20"/>
      <c r="F11" s="20"/>
      <c r="G11" s="20"/>
      <c r="H11" s="20"/>
      <c r="I11" s="20"/>
      <c r="J11" s="20"/>
      <c r="K11" s="20"/>
      <c r="L11" s="20"/>
      <c r="M11" s="20"/>
      <c r="N11" s="20"/>
      <c r="O11" s="20"/>
      <c r="P11" s="20"/>
      <c r="Q11" s="20"/>
      <c r="R11" s="20"/>
    </row>
    <row r="12" customFormat="false" ht="15" hidden="false" customHeight="false" outlineLevel="0" collapsed="false">
      <c r="A12" s="20"/>
      <c r="B12" s="20"/>
      <c r="C12" s="20"/>
      <c r="D12" s="20"/>
      <c r="E12" s="20"/>
      <c r="F12" s="20"/>
      <c r="G12" s="20"/>
      <c r="H12" s="20"/>
      <c r="I12" s="20"/>
      <c r="J12" s="20"/>
      <c r="K12" s="20"/>
      <c r="L12" s="20"/>
      <c r="M12" s="20"/>
      <c r="N12" s="20"/>
      <c r="O12" s="20"/>
      <c r="P12" s="20"/>
      <c r="Q12" s="20"/>
      <c r="R12" s="20"/>
    </row>
    <row r="13" customFormat="false" ht="15" hidden="false" customHeight="false" outlineLevel="0" collapsed="false">
      <c r="A13" s="20"/>
      <c r="B13" s="20"/>
      <c r="C13" s="20"/>
      <c r="D13" s="20"/>
      <c r="E13" s="20"/>
      <c r="F13" s="20"/>
      <c r="G13" s="20"/>
      <c r="H13" s="20"/>
      <c r="I13" s="20"/>
      <c r="J13" s="20"/>
      <c r="K13" s="20"/>
      <c r="L13" s="20"/>
      <c r="M13" s="20"/>
      <c r="N13" s="20"/>
      <c r="O13" s="20"/>
      <c r="P13" s="20"/>
      <c r="Q13" s="20"/>
      <c r="R13" s="20"/>
    </row>
    <row r="14" customFormat="false" ht="15" hidden="false" customHeight="false" outlineLevel="0" collapsed="false">
      <c r="A14" s="20"/>
      <c r="B14" s="20"/>
      <c r="C14" s="20"/>
      <c r="D14" s="20"/>
      <c r="E14" s="20"/>
      <c r="F14" s="20"/>
      <c r="G14" s="20"/>
      <c r="H14" s="20"/>
      <c r="I14" s="20"/>
      <c r="J14" s="20"/>
      <c r="K14" s="20"/>
      <c r="L14" s="20"/>
      <c r="M14" s="20"/>
      <c r="N14" s="20"/>
      <c r="O14" s="20"/>
      <c r="P14" s="20"/>
      <c r="Q14" s="20"/>
      <c r="R14" s="20"/>
    </row>
    <row r="15" customFormat="false" ht="15" hidden="false" customHeight="false" outlineLevel="0" collapsed="false">
      <c r="A15" s="20"/>
      <c r="B15" s="20"/>
      <c r="C15" s="20"/>
      <c r="D15" s="20"/>
      <c r="E15" s="20"/>
      <c r="F15" s="20"/>
      <c r="G15" s="20"/>
      <c r="H15" s="20"/>
      <c r="I15" s="20"/>
      <c r="J15" s="20"/>
      <c r="K15" s="20"/>
      <c r="L15" s="20"/>
      <c r="M15" s="20"/>
      <c r="N15" s="20"/>
      <c r="O15" s="20"/>
      <c r="P15" s="20"/>
      <c r="Q15" s="20"/>
      <c r="R15" s="20"/>
    </row>
    <row r="16" customFormat="false" ht="15" hidden="false" customHeight="false" outlineLevel="0" collapsed="false">
      <c r="A16" s="20"/>
      <c r="B16" s="20"/>
      <c r="C16" s="20"/>
      <c r="D16" s="20"/>
      <c r="E16" s="20"/>
      <c r="F16" s="20"/>
      <c r="G16" s="20"/>
      <c r="H16" s="20"/>
      <c r="I16" s="20"/>
      <c r="J16" s="20"/>
      <c r="K16" s="20"/>
      <c r="L16" s="20"/>
      <c r="M16" s="20"/>
      <c r="N16" s="20"/>
      <c r="O16" s="20"/>
      <c r="P16" s="20"/>
      <c r="Q16" s="20"/>
      <c r="R16" s="20"/>
    </row>
    <row r="17" customFormat="false" ht="15" hidden="false" customHeight="false" outlineLevel="0" collapsed="false">
      <c r="A17" s="20"/>
      <c r="B17" s="20"/>
      <c r="C17" s="20"/>
      <c r="D17" s="20"/>
      <c r="E17" s="20"/>
      <c r="F17" s="20"/>
      <c r="G17" s="20"/>
      <c r="H17" s="20"/>
      <c r="I17" s="20"/>
      <c r="J17" s="20"/>
      <c r="K17" s="20"/>
      <c r="L17" s="20"/>
      <c r="M17" s="20"/>
      <c r="N17" s="20"/>
      <c r="O17" s="20"/>
      <c r="P17" s="20"/>
      <c r="Q17" s="20"/>
      <c r="R17" s="20"/>
    </row>
    <row r="18" customFormat="false" ht="15" hidden="false" customHeight="false" outlineLevel="0" collapsed="false">
      <c r="A18" s="20"/>
      <c r="B18" s="20"/>
      <c r="C18" s="20"/>
      <c r="D18" s="20"/>
      <c r="E18" s="20"/>
      <c r="F18" s="20"/>
      <c r="G18" s="20"/>
      <c r="H18" s="20"/>
      <c r="I18" s="20"/>
      <c r="J18" s="20"/>
      <c r="K18" s="20"/>
      <c r="L18" s="20"/>
      <c r="M18" s="20"/>
      <c r="N18" s="20"/>
      <c r="O18" s="20"/>
      <c r="P18" s="20"/>
      <c r="Q18" s="20"/>
      <c r="R18" s="20"/>
    </row>
    <row r="19" customFormat="false" ht="15" hidden="false" customHeight="false" outlineLevel="0" collapsed="false">
      <c r="A19" s="20"/>
      <c r="B19" s="20"/>
      <c r="C19" s="20"/>
      <c r="D19" s="20"/>
      <c r="E19" s="20"/>
      <c r="F19" s="20"/>
      <c r="G19" s="20"/>
      <c r="H19" s="20"/>
      <c r="I19" s="20"/>
      <c r="J19" s="20"/>
      <c r="K19" s="20"/>
      <c r="L19" s="20"/>
      <c r="M19" s="20"/>
      <c r="N19" s="20"/>
      <c r="O19" s="20"/>
      <c r="P19" s="20"/>
      <c r="Q19" s="20"/>
      <c r="R19" s="20"/>
    </row>
    <row r="20" customFormat="false" ht="15" hidden="false" customHeight="false" outlineLevel="0" collapsed="false">
      <c r="A20" s="20"/>
      <c r="B20" s="20"/>
      <c r="C20" s="20"/>
      <c r="D20" s="20"/>
      <c r="E20" s="20"/>
      <c r="F20" s="20"/>
      <c r="G20" s="20"/>
      <c r="H20" s="20"/>
      <c r="I20" s="20"/>
      <c r="J20" s="20"/>
      <c r="K20" s="20"/>
      <c r="L20" s="20"/>
      <c r="M20" s="20"/>
      <c r="N20" s="20"/>
      <c r="O20" s="20"/>
      <c r="P20" s="20"/>
      <c r="Q20" s="20"/>
      <c r="R20" s="20"/>
    </row>
    <row r="21" customFormat="false" ht="15" hidden="false" customHeight="false" outlineLevel="0" collapsed="false">
      <c r="A21" s="20"/>
      <c r="B21" s="20"/>
      <c r="C21" s="20"/>
      <c r="D21" s="20"/>
      <c r="E21" s="20"/>
      <c r="F21" s="20"/>
      <c r="G21" s="20"/>
      <c r="H21" s="20"/>
      <c r="I21" s="20"/>
      <c r="J21" s="20"/>
      <c r="K21" s="20"/>
      <c r="L21" s="20"/>
      <c r="M21" s="20"/>
      <c r="N21" s="20"/>
      <c r="O21" s="20"/>
      <c r="P21" s="20"/>
      <c r="Q21" s="20"/>
      <c r="R21" s="20"/>
    </row>
    <row r="22" customFormat="false" ht="15" hidden="false" customHeight="false" outlineLevel="0" collapsed="false">
      <c r="A22" s="20"/>
      <c r="B22" s="20"/>
      <c r="C22" s="20"/>
      <c r="D22" s="20"/>
      <c r="E22" s="20"/>
      <c r="F22" s="20"/>
      <c r="G22" s="20"/>
      <c r="H22" s="20"/>
      <c r="I22" s="20"/>
      <c r="J22" s="20"/>
      <c r="K22" s="20"/>
      <c r="L22" s="20"/>
      <c r="M22" s="20"/>
      <c r="N22" s="20"/>
      <c r="O22" s="20"/>
      <c r="P22" s="20"/>
      <c r="Q22" s="20"/>
      <c r="R22" s="20"/>
    </row>
    <row r="23" customFormat="false" ht="15" hidden="false" customHeight="false" outlineLevel="0" collapsed="false">
      <c r="A23" s="20"/>
      <c r="B23" s="20"/>
      <c r="C23" s="20"/>
      <c r="D23" s="20"/>
      <c r="E23" s="20"/>
      <c r="F23" s="20"/>
      <c r="G23" s="20"/>
      <c r="H23" s="20"/>
      <c r="I23" s="20"/>
      <c r="J23" s="20"/>
      <c r="K23" s="20"/>
      <c r="L23" s="20"/>
      <c r="M23" s="20"/>
      <c r="N23" s="20"/>
      <c r="O23" s="20"/>
      <c r="P23" s="20"/>
      <c r="Q23" s="20"/>
      <c r="R23" s="20"/>
    </row>
    <row r="24" customFormat="false" ht="15" hidden="false" customHeight="false" outlineLevel="0" collapsed="false">
      <c r="A24" s="20"/>
      <c r="B24" s="20"/>
      <c r="C24" s="20"/>
      <c r="D24" s="20"/>
      <c r="E24" s="20"/>
      <c r="F24" s="20"/>
      <c r="G24" s="20"/>
      <c r="H24" s="20"/>
      <c r="I24" s="20"/>
      <c r="J24" s="20"/>
      <c r="K24" s="20"/>
      <c r="L24" s="20"/>
      <c r="M24" s="20"/>
      <c r="N24" s="20"/>
      <c r="O24" s="20"/>
      <c r="P24" s="20"/>
      <c r="Q24" s="20"/>
      <c r="R24" s="20"/>
    </row>
    <row r="25" customFormat="false" ht="15" hidden="false" customHeight="false" outlineLevel="0" collapsed="false">
      <c r="A25" s="20"/>
      <c r="B25" s="20"/>
      <c r="C25" s="20"/>
      <c r="D25" s="20"/>
      <c r="E25" s="20"/>
      <c r="F25" s="20"/>
      <c r="G25" s="20"/>
      <c r="H25" s="20"/>
      <c r="I25" s="20"/>
      <c r="J25" s="20"/>
      <c r="K25" s="20"/>
      <c r="L25" s="20"/>
      <c r="M25" s="20"/>
      <c r="N25" s="20"/>
      <c r="O25" s="20"/>
      <c r="P25" s="20"/>
      <c r="Q25" s="20"/>
      <c r="R25" s="20"/>
    </row>
    <row r="26" customFormat="false" ht="15" hidden="false" customHeight="false" outlineLevel="0" collapsed="false">
      <c r="A26" s="20"/>
      <c r="B26" s="20"/>
      <c r="C26" s="20"/>
      <c r="D26" s="20"/>
      <c r="E26" s="20"/>
      <c r="F26" s="20"/>
      <c r="G26" s="20"/>
      <c r="H26" s="20"/>
      <c r="I26" s="20"/>
      <c r="J26" s="20"/>
      <c r="K26" s="20"/>
      <c r="L26" s="20"/>
      <c r="M26" s="20"/>
      <c r="N26" s="20"/>
      <c r="O26" s="20"/>
      <c r="P26" s="20"/>
      <c r="Q26" s="20"/>
      <c r="R26" s="20"/>
    </row>
    <row r="27" customFormat="false" ht="15" hidden="false" customHeight="false" outlineLevel="0" collapsed="false">
      <c r="A27" s="20"/>
      <c r="B27" s="20"/>
      <c r="C27" s="20"/>
      <c r="D27" s="20"/>
      <c r="E27" s="20"/>
      <c r="F27" s="20"/>
      <c r="G27" s="20"/>
      <c r="H27" s="20"/>
      <c r="I27" s="20"/>
      <c r="J27" s="20"/>
      <c r="K27" s="20"/>
      <c r="L27" s="20"/>
      <c r="M27" s="20"/>
      <c r="N27" s="20"/>
      <c r="O27" s="20"/>
      <c r="P27" s="20"/>
      <c r="Q27" s="20"/>
      <c r="R27" s="20"/>
    </row>
    <row r="28" customFormat="false" ht="15" hidden="false" customHeight="false" outlineLevel="0" collapsed="false">
      <c r="A28" s="20"/>
      <c r="B28" s="20"/>
      <c r="C28" s="20"/>
      <c r="D28" s="20"/>
      <c r="E28" s="20"/>
      <c r="F28" s="20"/>
      <c r="G28" s="20"/>
      <c r="H28" s="20"/>
      <c r="I28" s="20"/>
      <c r="J28" s="20"/>
      <c r="K28" s="20"/>
      <c r="L28" s="20"/>
      <c r="M28" s="20"/>
      <c r="N28" s="20"/>
      <c r="O28" s="20"/>
      <c r="P28" s="20"/>
      <c r="Q28" s="20"/>
      <c r="R28" s="20"/>
    </row>
    <row r="29" customFormat="false" ht="15" hidden="false" customHeight="false" outlineLevel="0" collapsed="false">
      <c r="A29" s="20"/>
      <c r="B29" s="20"/>
      <c r="C29" s="20"/>
      <c r="D29" s="20"/>
      <c r="E29" s="20"/>
      <c r="F29" s="20"/>
      <c r="G29" s="20"/>
      <c r="H29" s="20"/>
      <c r="I29" s="20"/>
      <c r="J29" s="20"/>
      <c r="K29" s="20"/>
      <c r="L29" s="20"/>
      <c r="M29" s="20"/>
      <c r="N29" s="20"/>
      <c r="O29" s="20"/>
      <c r="P29" s="20"/>
      <c r="Q29" s="20"/>
      <c r="R29" s="20"/>
    </row>
    <row r="30" customFormat="false" ht="15" hidden="false" customHeight="false" outlineLevel="0" collapsed="false">
      <c r="A30" s="20"/>
      <c r="B30" s="20"/>
      <c r="C30" s="20"/>
      <c r="D30" s="20"/>
      <c r="E30" s="20"/>
      <c r="F30" s="20"/>
      <c r="G30" s="20"/>
      <c r="H30" s="20"/>
      <c r="I30" s="20"/>
      <c r="J30" s="20"/>
      <c r="K30" s="20"/>
      <c r="L30" s="20"/>
      <c r="M30" s="20"/>
      <c r="N30" s="20"/>
      <c r="O30" s="20"/>
      <c r="P30" s="20"/>
      <c r="Q30" s="20"/>
      <c r="R30" s="20"/>
    </row>
    <row r="31" customFormat="false" ht="15" hidden="false" customHeight="false" outlineLevel="0" collapsed="false">
      <c r="A31" s="20"/>
      <c r="B31" s="20"/>
      <c r="C31" s="20"/>
      <c r="D31" s="20"/>
      <c r="E31" s="20"/>
      <c r="F31" s="20"/>
      <c r="G31" s="20"/>
      <c r="H31" s="20"/>
      <c r="I31" s="20"/>
      <c r="J31" s="20"/>
      <c r="K31" s="20"/>
      <c r="L31" s="20"/>
      <c r="M31" s="20"/>
      <c r="N31" s="20"/>
      <c r="O31" s="20"/>
      <c r="P31" s="20"/>
      <c r="Q31" s="20"/>
      <c r="R31" s="20"/>
    </row>
    <row r="32" customFormat="false" ht="15" hidden="false" customHeight="false" outlineLevel="0" collapsed="false">
      <c r="A32" s="20"/>
      <c r="B32" s="20"/>
      <c r="C32" s="20"/>
      <c r="D32" s="20"/>
      <c r="E32" s="20"/>
      <c r="F32" s="20"/>
      <c r="G32" s="20"/>
      <c r="H32" s="20"/>
      <c r="I32" s="20"/>
      <c r="J32" s="20"/>
      <c r="K32" s="20"/>
      <c r="L32" s="20"/>
      <c r="M32" s="20"/>
      <c r="N32" s="20"/>
      <c r="O32" s="20"/>
      <c r="P32" s="20"/>
      <c r="Q32" s="20"/>
      <c r="R32" s="20"/>
    </row>
    <row r="33" customFormat="false" ht="15" hidden="false" customHeight="false" outlineLevel="0" collapsed="false">
      <c r="A33" s="20"/>
      <c r="B33" s="20"/>
      <c r="C33" s="20"/>
      <c r="D33" s="20"/>
      <c r="E33" s="20"/>
      <c r="F33" s="20"/>
      <c r="G33" s="20"/>
      <c r="H33" s="20"/>
      <c r="I33" s="20"/>
      <c r="J33" s="20"/>
      <c r="K33" s="20"/>
      <c r="L33" s="20"/>
      <c r="M33" s="20"/>
      <c r="N33" s="20"/>
      <c r="O33" s="20"/>
      <c r="P33" s="20"/>
      <c r="Q33" s="20"/>
      <c r="R33" s="20"/>
    </row>
    <row r="34" customFormat="false" ht="15" hidden="false" customHeight="false" outlineLevel="0" collapsed="false">
      <c r="A34" s="20"/>
      <c r="B34" s="20"/>
      <c r="C34" s="20"/>
      <c r="D34" s="20"/>
      <c r="E34" s="20"/>
      <c r="F34" s="20"/>
      <c r="G34" s="20"/>
      <c r="H34" s="20"/>
      <c r="I34" s="20"/>
      <c r="J34" s="20"/>
      <c r="K34" s="20"/>
      <c r="L34" s="20"/>
      <c r="M34" s="20"/>
      <c r="N34" s="20"/>
      <c r="O34" s="20"/>
      <c r="P34" s="20"/>
      <c r="Q34" s="20"/>
      <c r="R34" s="20"/>
    </row>
    <row r="35" customFormat="false" ht="15" hidden="false" customHeight="false" outlineLevel="0" collapsed="false">
      <c r="A35" s="20"/>
      <c r="B35" s="20"/>
      <c r="C35" s="20"/>
      <c r="D35" s="20"/>
      <c r="E35" s="20"/>
      <c r="F35" s="20"/>
      <c r="G35" s="20"/>
      <c r="H35" s="20"/>
      <c r="I35" s="20"/>
      <c r="J35" s="20"/>
      <c r="K35" s="20"/>
      <c r="L35" s="20"/>
      <c r="M35" s="20"/>
      <c r="N35" s="20"/>
      <c r="O35" s="20"/>
      <c r="P35" s="20"/>
      <c r="Q35" s="20"/>
      <c r="R35" s="20"/>
    </row>
    <row r="36" customFormat="false" ht="15" hidden="false" customHeight="false" outlineLevel="0" collapsed="false">
      <c r="A36" s="20"/>
      <c r="B36" s="20"/>
      <c r="C36" s="20"/>
      <c r="D36" s="20"/>
      <c r="E36" s="20"/>
      <c r="F36" s="20"/>
      <c r="G36" s="20"/>
      <c r="H36" s="20"/>
      <c r="I36" s="20"/>
      <c r="J36" s="20"/>
      <c r="K36" s="20"/>
      <c r="L36" s="20"/>
      <c r="M36" s="20"/>
      <c r="N36" s="20"/>
      <c r="O36" s="20"/>
      <c r="P36" s="20"/>
      <c r="Q36" s="20"/>
      <c r="R36" s="20"/>
    </row>
    <row r="37" customFormat="false" ht="15" hidden="false" customHeight="false" outlineLevel="0" collapsed="false">
      <c r="A37" s="20"/>
      <c r="B37" s="20"/>
      <c r="C37" s="20"/>
      <c r="D37" s="20"/>
      <c r="E37" s="20"/>
      <c r="F37" s="20"/>
      <c r="G37" s="20"/>
      <c r="H37" s="20"/>
      <c r="I37" s="20"/>
      <c r="J37" s="20"/>
      <c r="K37" s="20"/>
      <c r="L37" s="20"/>
      <c r="M37" s="20"/>
      <c r="N37" s="20"/>
      <c r="O37" s="20"/>
      <c r="P37" s="20"/>
      <c r="Q37" s="20"/>
      <c r="R37" s="20"/>
    </row>
    <row r="38" customFormat="false" ht="15" hidden="false" customHeight="false" outlineLevel="0" collapsed="false">
      <c r="A38" s="20"/>
      <c r="B38" s="20"/>
      <c r="C38" s="20"/>
      <c r="D38" s="20"/>
      <c r="E38" s="20"/>
      <c r="F38" s="20"/>
      <c r="G38" s="20"/>
      <c r="H38" s="20"/>
      <c r="I38" s="20"/>
      <c r="J38" s="20"/>
      <c r="K38" s="20"/>
      <c r="L38" s="20"/>
      <c r="M38" s="20"/>
      <c r="N38" s="20"/>
      <c r="O38" s="20"/>
      <c r="P38" s="20"/>
      <c r="Q38" s="20"/>
      <c r="R38" s="20"/>
    </row>
    <row r="39" customFormat="false" ht="15" hidden="false" customHeight="false" outlineLevel="0" collapsed="false">
      <c r="A39" s="20"/>
      <c r="B39" s="20"/>
      <c r="C39" s="20"/>
      <c r="D39" s="20"/>
      <c r="E39" s="20"/>
      <c r="F39" s="20"/>
      <c r="G39" s="20"/>
      <c r="H39" s="20"/>
      <c r="I39" s="20"/>
      <c r="J39" s="20"/>
      <c r="K39" s="20"/>
      <c r="L39" s="20"/>
      <c r="M39" s="20"/>
      <c r="N39" s="20"/>
      <c r="O39" s="20"/>
      <c r="P39" s="20"/>
      <c r="Q39" s="20"/>
      <c r="R39" s="20"/>
    </row>
    <row r="40" customFormat="false" ht="15" hidden="false" customHeight="false" outlineLevel="0" collapsed="false">
      <c r="A40" s="20"/>
      <c r="B40" s="20"/>
      <c r="C40" s="20"/>
      <c r="D40" s="20"/>
      <c r="E40" s="20"/>
      <c r="F40" s="20"/>
      <c r="G40" s="20"/>
      <c r="H40" s="20"/>
      <c r="I40" s="20"/>
      <c r="J40" s="20"/>
      <c r="K40" s="20"/>
      <c r="L40" s="20"/>
      <c r="M40" s="20"/>
      <c r="N40" s="20"/>
      <c r="O40" s="20"/>
      <c r="P40" s="20"/>
      <c r="Q40" s="20"/>
      <c r="R40" s="20"/>
    </row>
    <row r="41" customFormat="false" ht="15" hidden="false" customHeight="false" outlineLevel="0" collapsed="false">
      <c r="A41" s="20"/>
      <c r="B41" s="20"/>
      <c r="C41" s="20"/>
      <c r="D41" s="20"/>
      <c r="E41" s="20"/>
      <c r="F41" s="20"/>
      <c r="G41" s="20"/>
      <c r="H41" s="20"/>
      <c r="I41" s="20"/>
      <c r="J41" s="20"/>
      <c r="K41" s="20"/>
      <c r="L41" s="20"/>
      <c r="M41" s="20"/>
      <c r="N41" s="20"/>
      <c r="O41" s="20"/>
      <c r="P41" s="20"/>
      <c r="Q41" s="20"/>
      <c r="R41" s="20"/>
    </row>
    <row r="42" customFormat="false" ht="15" hidden="false" customHeight="false" outlineLevel="0" collapsed="false">
      <c r="A42" s="20"/>
      <c r="B42" s="20"/>
      <c r="C42" s="20"/>
      <c r="D42" s="20"/>
      <c r="E42" s="20"/>
      <c r="F42" s="20"/>
      <c r="G42" s="20"/>
      <c r="H42" s="20"/>
      <c r="I42" s="20"/>
      <c r="J42" s="20"/>
      <c r="K42" s="20"/>
      <c r="L42" s="20"/>
      <c r="M42" s="20"/>
      <c r="N42" s="20"/>
      <c r="O42" s="20"/>
      <c r="P42" s="20"/>
      <c r="Q42" s="20"/>
      <c r="R42" s="20"/>
    </row>
    <row r="43" customFormat="false" ht="15" hidden="false" customHeight="false" outlineLevel="0" collapsed="false">
      <c r="A43" s="20"/>
      <c r="B43" s="20"/>
      <c r="C43" s="20"/>
      <c r="D43" s="20"/>
      <c r="E43" s="20"/>
      <c r="F43" s="20"/>
      <c r="G43" s="20"/>
      <c r="H43" s="20"/>
      <c r="I43" s="20"/>
      <c r="J43" s="20"/>
      <c r="K43" s="20"/>
      <c r="L43" s="20"/>
      <c r="M43" s="20"/>
      <c r="N43" s="20"/>
      <c r="O43" s="20"/>
      <c r="P43" s="20"/>
      <c r="Q43" s="20"/>
      <c r="R43" s="20"/>
    </row>
  </sheetData>
  <mergeCells count="2">
    <mergeCell ref="A1:R1"/>
    <mergeCell ref="A3:R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5A5A5"/>
    <pageSetUpPr fitToPage="fals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35"/>
    <col collapsed="false" customWidth="true" hidden="false" outlineLevel="0" max="4" min="4" style="0" width="10"/>
    <col collapsed="false" customWidth="true" hidden="false" outlineLevel="0" max="5" min="5" style="0" width="35"/>
    <col collapsed="false" customWidth="true" hidden="false" outlineLevel="0" max="6" min="6" style="0" width="14"/>
    <col collapsed="false" customWidth="true" hidden="false" outlineLevel="0" max="7" min="7" style="0" width="22"/>
    <col collapsed="false" customWidth="true" hidden="false" outlineLevel="0" max="8" min="8" style="0" width="25"/>
    <col collapsed="false" customWidth="true" hidden="false" outlineLevel="0" max="9" min="9" style="0" width="55"/>
    <col collapsed="false" customWidth="true" hidden="false" outlineLevel="0" max="11" min="10" style="0" width="18"/>
    <col collapsed="false" customWidth="true" hidden="false" outlineLevel="0" max="12" min="12" style="0" width="40"/>
  </cols>
  <sheetData>
    <row r="1" customFormat="false" ht="27.75" hidden="false" customHeight="true" outlineLevel="0" collapsed="false">
      <c r="A1" s="17" t="s">
        <v>854</v>
      </c>
      <c r="B1" s="17"/>
      <c r="C1" s="17"/>
      <c r="D1" s="17"/>
      <c r="E1" s="17"/>
      <c r="F1" s="17"/>
      <c r="G1" s="17"/>
      <c r="H1" s="17"/>
      <c r="I1" s="17"/>
      <c r="J1" s="17"/>
      <c r="K1" s="17"/>
      <c r="L1" s="17"/>
    </row>
    <row r="2" customFormat="false" ht="30" hidden="false" customHeight="true" outlineLevel="0" collapsed="false">
      <c r="A2" s="18" t="s">
        <v>855</v>
      </c>
      <c r="B2" s="18" t="s">
        <v>839</v>
      </c>
      <c r="C2" s="18" t="s">
        <v>841</v>
      </c>
      <c r="D2" s="18" t="s">
        <v>326</v>
      </c>
      <c r="E2" s="18" t="s">
        <v>329</v>
      </c>
      <c r="F2" s="18" t="s">
        <v>856</v>
      </c>
      <c r="G2" s="18" t="s">
        <v>857</v>
      </c>
      <c r="H2" s="18" t="s">
        <v>858</v>
      </c>
      <c r="I2" s="18" t="s">
        <v>342</v>
      </c>
      <c r="J2" s="18" t="s">
        <v>804</v>
      </c>
      <c r="K2" s="18" t="s">
        <v>859</v>
      </c>
      <c r="L2" s="18" t="s">
        <v>228</v>
      </c>
    </row>
    <row r="3" customFormat="false" ht="15" hidden="false" customHeight="false" outlineLevel="0" collapsed="false">
      <c r="A3" s="20"/>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5" customFormat="false" ht="15" hidden="false" customHeight="false" outlineLevel="0" collapsed="false">
      <c r="A5" s="20"/>
      <c r="B5" s="20"/>
      <c r="C5" s="20"/>
      <c r="D5" s="20"/>
      <c r="E5" s="20"/>
      <c r="F5" s="20"/>
      <c r="G5" s="20"/>
      <c r="H5" s="20"/>
      <c r="I5" s="20"/>
      <c r="J5" s="20"/>
      <c r="K5" s="20"/>
      <c r="L5" s="20"/>
    </row>
    <row r="6" customFormat="false" ht="15" hidden="false" customHeight="false" outlineLevel="0" collapsed="false">
      <c r="A6" s="20"/>
      <c r="B6" s="20"/>
      <c r="C6" s="20"/>
      <c r="D6" s="20"/>
      <c r="E6" s="20"/>
      <c r="F6" s="20"/>
      <c r="G6" s="20"/>
      <c r="H6" s="20"/>
      <c r="I6" s="20"/>
      <c r="J6" s="20"/>
      <c r="K6" s="20"/>
      <c r="L6" s="20"/>
    </row>
    <row r="7" customFormat="false" ht="15" hidden="false" customHeight="false" outlineLevel="0" collapsed="false">
      <c r="A7" s="20"/>
      <c r="B7" s="20"/>
      <c r="C7" s="20"/>
      <c r="D7" s="20"/>
      <c r="E7" s="20"/>
      <c r="F7" s="20"/>
      <c r="G7" s="20"/>
      <c r="H7" s="20"/>
      <c r="I7" s="20"/>
      <c r="J7" s="20"/>
      <c r="K7" s="20"/>
      <c r="L7" s="20"/>
    </row>
    <row r="8" customFormat="false" ht="15" hidden="false" customHeight="false" outlineLevel="0" collapsed="false">
      <c r="A8" s="20"/>
      <c r="B8" s="20"/>
      <c r="C8" s="20"/>
      <c r="D8" s="20"/>
      <c r="E8" s="20"/>
      <c r="F8" s="20"/>
      <c r="G8" s="20"/>
      <c r="H8" s="20"/>
      <c r="I8" s="20"/>
      <c r="J8" s="20"/>
      <c r="K8" s="20"/>
      <c r="L8" s="20"/>
    </row>
    <row r="9" customFormat="false" ht="15" hidden="false" customHeight="false" outlineLevel="0" collapsed="false">
      <c r="A9" s="20"/>
      <c r="B9" s="20"/>
      <c r="C9" s="20"/>
      <c r="D9" s="20"/>
      <c r="E9" s="20"/>
      <c r="F9" s="20"/>
      <c r="G9" s="20"/>
      <c r="H9" s="20"/>
      <c r="I9" s="20"/>
      <c r="J9" s="20"/>
      <c r="K9" s="20"/>
      <c r="L9" s="20"/>
    </row>
    <row r="10" customFormat="false" ht="15" hidden="false" customHeight="false" outlineLevel="0" collapsed="false">
      <c r="A10" s="20"/>
      <c r="B10" s="20"/>
      <c r="C10" s="20"/>
      <c r="D10" s="20"/>
      <c r="E10" s="20"/>
      <c r="F10" s="20"/>
      <c r="G10" s="20"/>
      <c r="H10" s="20"/>
      <c r="I10" s="20"/>
      <c r="J10" s="20"/>
      <c r="K10" s="20"/>
      <c r="L10" s="20"/>
    </row>
    <row r="11" customFormat="false" ht="15" hidden="false" customHeight="false" outlineLevel="0" collapsed="false">
      <c r="A11" s="20"/>
      <c r="B11" s="20"/>
      <c r="C11" s="20"/>
      <c r="D11" s="20"/>
      <c r="E11" s="20"/>
      <c r="F11" s="20"/>
      <c r="G11" s="20"/>
      <c r="H11" s="20"/>
      <c r="I11" s="20"/>
      <c r="J11" s="20"/>
      <c r="K11" s="20"/>
      <c r="L11" s="20"/>
    </row>
    <row r="12" customFormat="false" ht="15" hidden="false" customHeight="false" outlineLevel="0" collapsed="false">
      <c r="A12" s="20"/>
      <c r="B12" s="20"/>
      <c r="C12" s="20"/>
      <c r="D12" s="20"/>
      <c r="E12" s="20"/>
      <c r="F12" s="20"/>
      <c r="G12" s="20"/>
      <c r="H12" s="20"/>
      <c r="I12" s="20"/>
      <c r="J12" s="20"/>
      <c r="K12" s="20"/>
      <c r="L12" s="20"/>
    </row>
    <row r="13" customFormat="false" ht="15" hidden="false" customHeight="false" outlineLevel="0" collapsed="false">
      <c r="A13" s="20"/>
      <c r="B13" s="20"/>
      <c r="C13" s="20"/>
      <c r="D13" s="20"/>
      <c r="E13" s="20"/>
      <c r="F13" s="20"/>
      <c r="G13" s="20"/>
      <c r="H13" s="20"/>
      <c r="I13" s="20"/>
      <c r="J13" s="20"/>
      <c r="K13" s="20"/>
      <c r="L13" s="20"/>
    </row>
    <row r="14" customFormat="false" ht="15" hidden="false" customHeight="false" outlineLevel="0" collapsed="false">
      <c r="A14" s="20"/>
      <c r="B14" s="20"/>
      <c r="C14" s="20"/>
      <c r="D14" s="20"/>
      <c r="E14" s="20"/>
      <c r="F14" s="20"/>
      <c r="G14" s="20"/>
      <c r="H14" s="20"/>
      <c r="I14" s="20"/>
      <c r="J14" s="20"/>
      <c r="K14" s="20"/>
      <c r="L14" s="20"/>
    </row>
    <row r="15" customFormat="false" ht="15" hidden="false" customHeight="false" outlineLevel="0" collapsed="false">
      <c r="A15" s="20"/>
      <c r="B15" s="20"/>
      <c r="C15" s="20"/>
      <c r="D15" s="20"/>
      <c r="E15" s="20"/>
      <c r="F15" s="20"/>
      <c r="G15" s="20"/>
      <c r="H15" s="20"/>
      <c r="I15" s="20"/>
      <c r="J15" s="20"/>
      <c r="K15" s="20"/>
      <c r="L15" s="20"/>
    </row>
    <row r="16" customFormat="false" ht="15" hidden="false" customHeight="false" outlineLevel="0" collapsed="false">
      <c r="A16" s="20"/>
      <c r="B16" s="20"/>
      <c r="C16" s="20"/>
      <c r="D16" s="20"/>
      <c r="E16" s="20"/>
      <c r="F16" s="20"/>
      <c r="G16" s="20"/>
      <c r="H16" s="20"/>
      <c r="I16" s="20"/>
      <c r="J16" s="20"/>
      <c r="K16" s="20"/>
      <c r="L16" s="20"/>
    </row>
    <row r="17" customFormat="false" ht="15" hidden="false" customHeight="false" outlineLevel="0" collapsed="false">
      <c r="A17" s="20"/>
      <c r="B17" s="20"/>
      <c r="C17" s="20"/>
      <c r="D17" s="20"/>
      <c r="E17" s="20"/>
      <c r="F17" s="20"/>
      <c r="G17" s="20"/>
      <c r="H17" s="20"/>
      <c r="I17" s="20"/>
      <c r="J17" s="20"/>
      <c r="K17" s="20"/>
      <c r="L17" s="20"/>
    </row>
    <row r="18" customFormat="false" ht="15" hidden="false" customHeight="false" outlineLevel="0" collapsed="false">
      <c r="A18" s="20"/>
      <c r="B18" s="20"/>
      <c r="C18" s="20"/>
      <c r="D18" s="20"/>
      <c r="E18" s="20"/>
      <c r="F18" s="20"/>
      <c r="G18" s="20"/>
      <c r="H18" s="20"/>
      <c r="I18" s="20"/>
      <c r="J18" s="20"/>
      <c r="K18" s="20"/>
      <c r="L18" s="20"/>
    </row>
    <row r="19" customFormat="false" ht="15" hidden="false" customHeight="false" outlineLevel="0" collapsed="false">
      <c r="A19" s="20"/>
      <c r="B19" s="20"/>
      <c r="C19" s="20"/>
      <c r="D19" s="20"/>
      <c r="E19" s="20"/>
      <c r="F19" s="20"/>
      <c r="G19" s="20"/>
      <c r="H19" s="20"/>
      <c r="I19" s="20"/>
      <c r="J19" s="20"/>
      <c r="K19" s="20"/>
      <c r="L19" s="20"/>
    </row>
    <row r="20" customFormat="false" ht="15" hidden="false" customHeight="false" outlineLevel="0" collapsed="false">
      <c r="A20" s="20"/>
      <c r="B20" s="20"/>
      <c r="C20" s="20"/>
      <c r="D20" s="20"/>
      <c r="E20" s="20"/>
      <c r="F20" s="20"/>
      <c r="G20" s="20"/>
      <c r="H20" s="20"/>
      <c r="I20" s="20"/>
      <c r="J20" s="20"/>
      <c r="K20" s="20"/>
      <c r="L20" s="20"/>
    </row>
    <row r="21" customFormat="false" ht="15" hidden="false" customHeight="false" outlineLevel="0" collapsed="false">
      <c r="A21" s="20"/>
      <c r="B21" s="20"/>
      <c r="C21" s="20"/>
      <c r="D21" s="20"/>
      <c r="E21" s="20"/>
      <c r="F21" s="20"/>
      <c r="G21" s="20"/>
      <c r="H21" s="20"/>
      <c r="I21" s="20"/>
      <c r="J21" s="20"/>
      <c r="K21" s="20"/>
      <c r="L21" s="20"/>
    </row>
    <row r="22" customFormat="false" ht="15" hidden="false" customHeight="false" outlineLevel="0" collapsed="false">
      <c r="A22" s="20"/>
      <c r="B22" s="20"/>
      <c r="C22" s="20"/>
      <c r="D22" s="20"/>
      <c r="E22" s="20"/>
      <c r="F22" s="20"/>
      <c r="G22" s="20"/>
      <c r="H22" s="20"/>
      <c r="I22" s="20"/>
      <c r="J22" s="20"/>
      <c r="K22" s="20"/>
      <c r="L22" s="20"/>
    </row>
    <row r="23" customFormat="false" ht="15" hidden="false" customHeight="false" outlineLevel="0" collapsed="false">
      <c r="A23" s="20"/>
      <c r="B23" s="20"/>
      <c r="C23" s="20"/>
      <c r="D23" s="20"/>
      <c r="E23" s="20"/>
      <c r="F23" s="20"/>
      <c r="G23" s="20"/>
      <c r="H23" s="20"/>
      <c r="I23" s="20"/>
      <c r="J23" s="20"/>
      <c r="K23" s="20"/>
      <c r="L23" s="20"/>
    </row>
    <row r="24" customFormat="false" ht="15" hidden="false" customHeight="false" outlineLevel="0" collapsed="false">
      <c r="A24" s="20"/>
      <c r="B24" s="20"/>
      <c r="C24" s="20"/>
      <c r="D24" s="20"/>
      <c r="E24" s="20"/>
      <c r="F24" s="20"/>
      <c r="G24" s="20"/>
      <c r="H24" s="20"/>
      <c r="I24" s="20"/>
      <c r="J24" s="20"/>
      <c r="K24" s="20"/>
      <c r="L24" s="20"/>
    </row>
    <row r="25" customFormat="false" ht="15" hidden="false" customHeight="false" outlineLevel="0" collapsed="false">
      <c r="A25" s="20"/>
      <c r="B25" s="20"/>
      <c r="C25" s="20"/>
      <c r="D25" s="20"/>
      <c r="E25" s="20"/>
      <c r="F25" s="20"/>
      <c r="G25" s="20"/>
      <c r="H25" s="20"/>
      <c r="I25" s="20"/>
      <c r="J25" s="20"/>
      <c r="K25" s="20"/>
      <c r="L25" s="20"/>
    </row>
    <row r="26" customFormat="false" ht="15" hidden="false" customHeight="false" outlineLevel="0" collapsed="false">
      <c r="A26" s="20"/>
      <c r="B26" s="20"/>
      <c r="C26" s="20"/>
      <c r="D26" s="20"/>
      <c r="E26" s="20"/>
      <c r="F26" s="20"/>
      <c r="G26" s="20"/>
      <c r="H26" s="20"/>
      <c r="I26" s="20"/>
      <c r="J26" s="20"/>
      <c r="K26" s="20"/>
      <c r="L26" s="20"/>
    </row>
    <row r="27" customFormat="false" ht="15" hidden="false" customHeight="false" outlineLevel="0" collapsed="false">
      <c r="A27" s="20"/>
      <c r="B27" s="20"/>
      <c r="C27" s="20"/>
      <c r="D27" s="20"/>
      <c r="E27" s="20"/>
      <c r="F27" s="20"/>
      <c r="G27" s="20"/>
      <c r="H27" s="20"/>
      <c r="I27" s="20"/>
      <c r="J27" s="20"/>
      <c r="K27" s="20"/>
      <c r="L27" s="20"/>
    </row>
    <row r="28" customFormat="false" ht="15" hidden="false" customHeight="false" outlineLevel="0" collapsed="false">
      <c r="A28" s="20"/>
      <c r="B28" s="20"/>
      <c r="C28" s="20"/>
      <c r="D28" s="20"/>
      <c r="E28" s="20"/>
      <c r="F28" s="20"/>
      <c r="G28" s="20"/>
      <c r="H28" s="20"/>
      <c r="I28" s="20"/>
      <c r="J28" s="20"/>
      <c r="K28" s="20"/>
      <c r="L28" s="20"/>
    </row>
    <row r="29" customFormat="false" ht="15" hidden="false" customHeight="false" outlineLevel="0" collapsed="false">
      <c r="A29" s="20"/>
      <c r="B29" s="20"/>
      <c r="C29" s="20"/>
      <c r="D29" s="20"/>
      <c r="E29" s="20"/>
      <c r="F29" s="20"/>
      <c r="G29" s="20"/>
      <c r="H29" s="20"/>
      <c r="I29" s="20"/>
      <c r="J29" s="20"/>
      <c r="K29" s="20"/>
      <c r="L29" s="20"/>
    </row>
    <row r="30" customFormat="false" ht="15" hidden="false" customHeight="false" outlineLevel="0" collapsed="false">
      <c r="A30" s="20"/>
      <c r="B30" s="20"/>
      <c r="C30" s="20"/>
      <c r="D30" s="20"/>
      <c r="E30" s="20"/>
      <c r="F30" s="20"/>
      <c r="G30" s="20"/>
      <c r="H30" s="20"/>
      <c r="I30" s="20"/>
      <c r="J30" s="20"/>
      <c r="K30" s="20"/>
      <c r="L30" s="20"/>
    </row>
    <row r="31" customFormat="false" ht="15" hidden="false" customHeight="false" outlineLevel="0" collapsed="false">
      <c r="A31" s="20"/>
      <c r="B31" s="20"/>
      <c r="C31" s="20"/>
      <c r="D31" s="20"/>
      <c r="E31" s="20"/>
      <c r="F31" s="20"/>
      <c r="G31" s="20"/>
      <c r="H31" s="20"/>
      <c r="I31" s="20"/>
      <c r="J31" s="20"/>
      <c r="K31" s="20"/>
      <c r="L31" s="20"/>
    </row>
    <row r="32" customFormat="false" ht="15" hidden="false" customHeight="false" outlineLevel="0" collapsed="false">
      <c r="A32" s="20"/>
      <c r="B32" s="20"/>
      <c r="C32" s="20"/>
      <c r="D32" s="20"/>
      <c r="E32" s="20"/>
      <c r="F32" s="20"/>
      <c r="G32" s="20"/>
      <c r="H32" s="20"/>
      <c r="I32" s="20"/>
      <c r="J32" s="20"/>
      <c r="K32" s="20"/>
      <c r="L32" s="20"/>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P6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16"/>
    <col collapsed="false" customWidth="true" hidden="false" outlineLevel="0" max="5" min="5" style="0" width="35"/>
    <col collapsed="false" customWidth="true" hidden="false" outlineLevel="0" max="6" min="6" style="0" width="18"/>
    <col collapsed="false" customWidth="true" hidden="false" outlineLevel="0" max="7" min="7" style="0" width="8"/>
    <col collapsed="false" customWidth="true" hidden="false" outlineLevel="0" max="10" min="8" style="0" width="14"/>
    <col collapsed="false" customWidth="true" hidden="false" outlineLevel="0" max="11" min="11" style="0" width="20"/>
    <col collapsed="false" customWidth="true" hidden="false" outlineLevel="0" max="12" min="12" style="0" width="14"/>
    <col collapsed="false" customWidth="true" hidden="false" outlineLevel="0" max="13" min="13" style="0" width="35"/>
    <col collapsed="false" customWidth="true" hidden="false" outlineLevel="0" max="14" min="14" style="0" width="18"/>
    <col collapsed="false" customWidth="true" hidden="false" outlineLevel="0" max="15" min="15" style="0" width="35"/>
    <col collapsed="false" customWidth="true" hidden="false" outlineLevel="0" max="16" min="16" style="0" width="14"/>
  </cols>
  <sheetData>
    <row r="1" customFormat="false" ht="27.75" hidden="false" customHeight="true" outlineLevel="0" collapsed="false">
      <c r="A1" s="17" t="s">
        <v>860</v>
      </c>
      <c r="B1" s="17"/>
      <c r="C1" s="17"/>
      <c r="D1" s="17"/>
      <c r="E1" s="17"/>
      <c r="F1" s="17"/>
      <c r="G1" s="17"/>
      <c r="H1" s="17"/>
      <c r="I1" s="17"/>
      <c r="J1" s="17"/>
      <c r="K1" s="17"/>
      <c r="L1" s="17"/>
      <c r="M1" s="17"/>
      <c r="N1" s="17"/>
      <c r="O1" s="17"/>
      <c r="P1" s="17"/>
    </row>
    <row r="2" customFormat="false" ht="15" hidden="false" customHeight="false" outlineLevel="0" collapsed="false">
      <c r="A2" s="31" t="s">
        <v>861</v>
      </c>
      <c r="B2" s="31"/>
      <c r="C2" s="31"/>
      <c r="D2" s="31"/>
      <c r="E2" s="31"/>
      <c r="F2" s="31"/>
      <c r="G2" s="31"/>
      <c r="H2" s="31"/>
      <c r="I2" s="31"/>
      <c r="J2" s="31"/>
      <c r="K2" s="31"/>
      <c r="L2" s="31"/>
      <c r="M2" s="31"/>
      <c r="N2" s="31"/>
      <c r="O2" s="31"/>
      <c r="P2" s="31"/>
    </row>
    <row r="3" customFormat="false" ht="30" hidden="false" customHeight="true" outlineLevel="0" collapsed="false">
      <c r="A3" s="18" t="s">
        <v>862</v>
      </c>
      <c r="B3" s="18" t="s">
        <v>863</v>
      </c>
      <c r="C3" s="18" t="s">
        <v>864</v>
      </c>
      <c r="D3" s="18" t="s">
        <v>865</v>
      </c>
      <c r="E3" s="18" t="s">
        <v>866</v>
      </c>
      <c r="F3" s="18" t="s">
        <v>867</v>
      </c>
      <c r="G3" s="18" t="s">
        <v>868</v>
      </c>
      <c r="H3" s="18" t="s">
        <v>188</v>
      </c>
      <c r="I3" s="18" t="s">
        <v>869</v>
      </c>
      <c r="J3" s="18" t="s">
        <v>870</v>
      </c>
      <c r="K3" s="18" t="s">
        <v>871</v>
      </c>
      <c r="L3" s="18" t="s">
        <v>872</v>
      </c>
      <c r="M3" s="18" t="s">
        <v>873</v>
      </c>
      <c r="N3" s="18" t="s">
        <v>874</v>
      </c>
      <c r="O3" s="18" t="s">
        <v>875</v>
      </c>
      <c r="P3" s="18" t="s">
        <v>165</v>
      </c>
    </row>
    <row r="4" customFormat="false" ht="15" hidden="false" customHeight="false" outlineLevel="0" collapsed="false">
      <c r="A4" s="28" t="s">
        <v>876</v>
      </c>
      <c r="B4" s="28" t="s">
        <v>877</v>
      </c>
      <c r="C4" s="28" t="s">
        <v>104</v>
      </c>
      <c r="D4" s="28" t="s">
        <v>878</v>
      </c>
      <c r="E4" s="28" t="s">
        <v>879</v>
      </c>
      <c r="F4" s="32" t="n">
        <v>2928.24</v>
      </c>
      <c r="G4" s="28" t="s">
        <v>108</v>
      </c>
      <c r="H4" s="28" t="s">
        <v>880</v>
      </c>
      <c r="I4" s="28" t="s">
        <v>881</v>
      </c>
      <c r="J4" s="28" t="s">
        <v>881</v>
      </c>
      <c r="K4" s="28" t="s">
        <v>882</v>
      </c>
      <c r="L4" s="28" t="s">
        <v>883</v>
      </c>
      <c r="M4" s="28"/>
      <c r="N4" s="28" t="s">
        <v>884</v>
      </c>
      <c r="O4" s="28" t="s">
        <v>104</v>
      </c>
      <c r="P4" s="28"/>
    </row>
    <row r="5" customFormat="false" ht="15" hidden="false" customHeight="false" outlineLevel="0" collapsed="false">
      <c r="A5" s="28" t="s">
        <v>885</v>
      </c>
      <c r="B5" s="28" t="s">
        <v>886</v>
      </c>
      <c r="C5" s="28" t="s">
        <v>887</v>
      </c>
      <c r="D5" s="28" t="s">
        <v>878</v>
      </c>
      <c r="E5" s="28" t="s">
        <v>879</v>
      </c>
      <c r="F5" s="32" t="n">
        <v>214768.86</v>
      </c>
      <c r="G5" s="28" t="s">
        <v>108</v>
      </c>
      <c r="H5" s="28" t="s">
        <v>888</v>
      </c>
      <c r="I5" s="28" t="s">
        <v>889</v>
      </c>
      <c r="J5" s="28" t="s">
        <v>889</v>
      </c>
      <c r="K5" s="28" t="s">
        <v>882</v>
      </c>
      <c r="L5" s="28" t="s">
        <v>883</v>
      </c>
      <c r="M5" s="28"/>
      <c r="N5" s="28"/>
      <c r="O5" s="28"/>
      <c r="P5" s="28"/>
    </row>
    <row r="6" customFormat="false" ht="15" hidden="false" customHeight="false" outlineLevel="0" collapsed="false">
      <c r="A6" s="28" t="s">
        <v>890</v>
      </c>
      <c r="B6" s="28" t="s">
        <v>886</v>
      </c>
      <c r="C6" s="28" t="s">
        <v>887</v>
      </c>
      <c r="D6" s="28" t="s">
        <v>878</v>
      </c>
      <c r="E6" s="28" t="s">
        <v>879</v>
      </c>
      <c r="F6" s="32" t="n">
        <v>117129.4</v>
      </c>
      <c r="G6" s="28" t="s">
        <v>108</v>
      </c>
      <c r="H6" s="28" t="s">
        <v>891</v>
      </c>
      <c r="I6" s="28" t="s">
        <v>881</v>
      </c>
      <c r="J6" s="28" t="s">
        <v>881</v>
      </c>
      <c r="K6" s="28" t="s">
        <v>882</v>
      </c>
      <c r="L6" s="28" t="s">
        <v>883</v>
      </c>
      <c r="M6" s="28"/>
      <c r="N6" s="28"/>
      <c r="O6" s="28"/>
      <c r="P6" s="28"/>
    </row>
    <row r="7" customFormat="false" ht="15" hidden="false" customHeight="false" outlineLevel="0" collapsed="false">
      <c r="A7" s="28" t="s">
        <v>892</v>
      </c>
      <c r="B7" s="28" t="s">
        <v>877</v>
      </c>
      <c r="C7" s="28" t="s">
        <v>104</v>
      </c>
      <c r="D7" s="28" t="s">
        <v>878</v>
      </c>
      <c r="E7" s="28" t="s">
        <v>879</v>
      </c>
      <c r="F7" s="32" t="n">
        <v>3536.15</v>
      </c>
      <c r="G7" s="28" t="s">
        <v>108</v>
      </c>
      <c r="H7" s="28" t="s">
        <v>893</v>
      </c>
      <c r="I7" s="28" t="s">
        <v>889</v>
      </c>
      <c r="J7" s="28" t="s">
        <v>889</v>
      </c>
      <c r="K7" s="28" t="s">
        <v>882</v>
      </c>
      <c r="L7" s="28" t="s">
        <v>883</v>
      </c>
      <c r="M7" s="28"/>
      <c r="N7" s="28" t="s">
        <v>884</v>
      </c>
      <c r="O7" s="28" t="s">
        <v>104</v>
      </c>
      <c r="P7" s="28"/>
    </row>
    <row r="8" customFormat="false" ht="15" hidden="false" customHeight="false" outlineLevel="0" collapsed="false">
      <c r="A8" s="28" t="s">
        <v>894</v>
      </c>
      <c r="B8" s="28" t="s">
        <v>886</v>
      </c>
      <c r="C8" s="28" t="s">
        <v>887</v>
      </c>
      <c r="D8" s="28" t="s">
        <v>895</v>
      </c>
      <c r="E8" s="28" t="s">
        <v>896</v>
      </c>
      <c r="F8" s="32" t="n">
        <v>3690972.63</v>
      </c>
      <c r="G8" s="28" t="s">
        <v>108</v>
      </c>
      <c r="H8" s="28" t="s">
        <v>897</v>
      </c>
      <c r="I8" s="28" t="s">
        <v>889</v>
      </c>
      <c r="J8" s="28" t="s">
        <v>889</v>
      </c>
      <c r="K8" s="28" t="s">
        <v>898</v>
      </c>
      <c r="L8" s="28" t="s">
        <v>899</v>
      </c>
      <c r="M8" s="28" t="s">
        <v>900</v>
      </c>
      <c r="N8" s="28"/>
      <c r="O8" s="28"/>
      <c r="P8" s="28"/>
    </row>
    <row r="9" customFormat="false" ht="15" hidden="false" customHeight="false" outlineLevel="0" collapsed="false">
      <c r="A9" s="28" t="s">
        <v>901</v>
      </c>
      <c r="B9" s="28" t="s">
        <v>886</v>
      </c>
      <c r="C9" s="28" t="s">
        <v>887</v>
      </c>
      <c r="D9" s="28" t="s">
        <v>895</v>
      </c>
      <c r="E9" s="28" t="s">
        <v>896</v>
      </c>
      <c r="F9" s="32" t="n">
        <v>2802197.7</v>
      </c>
      <c r="G9" s="28" t="s">
        <v>108</v>
      </c>
      <c r="H9" s="28" t="s">
        <v>902</v>
      </c>
      <c r="I9" s="28" t="s">
        <v>881</v>
      </c>
      <c r="J9" s="28" t="s">
        <v>881</v>
      </c>
      <c r="K9" s="28" t="s">
        <v>903</v>
      </c>
      <c r="L9" s="28" t="s">
        <v>899</v>
      </c>
      <c r="M9" s="28" t="s">
        <v>900</v>
      </c>
      <c r="N9" s="28"/>
      <c r="O9" s="28"/>
      <c r="P9" s="28"/>
    </row>
    <row r="10" customFormat="false" ht="15" hidden="false" customHeight="false" outlineLevel="0" collapsed="false">
      <c r="A10" s="28" t="s">
        <v>904</v>
      </c>
      <c r="B10" s="28" t="s">
        <v>905</v>
      </c>
      <c r="C10" s="28" t="s">
        <v>906</v>
      </c>
      <c r="D10" s="28" t="s">
        <v>907</v>
      </c>
      <c r="E10" s="28" t="s">
        <v>908</v>
      </c>
      <c r="F10" s="32" t="n">
        <v>24149.49</v>
      </c>
      <c r="G10" s="28" t="s">
        <v>108</v>
      </c>
      <c r="H10" s="28" t="s">
        <v>909</v>
      </c>
      <c r="I10" s="28" t="s">
        <v>910</v>
      </c>
      <c r="J10" s="28" t="s">
        <v>910</v>
      </c>
      <c r="K10" s="28"/>
      <c r="L10" s="28" t="s">
        <v>911</v>
      </c>
      <c r="M10" s="28"/>
      <c r="N10" s="28"/>
      <c r="O10" s="28"/>
      <c r="P10" s="28"/>
    </row>
    <row r="11" customFormat="false" ht="15" hidden="false" customHeight="false" outlineLevel="0" collapsed="false">
      <c r="A11" s="28" t="s">
        <v>912</v>
      </c>
      <c r="B11" s="28" t="s">
        <v>905</v>
      </c>
      <c r="C11" s="28" t="s">
        <v>906</v>
      </c>
      <c r="D11" s="28" t="s">
        <v>907</v>
      </c>
      <c r="E11" s="28" t="s">
        <v>908</v>
      </c>
      <c r="F11" s="32" t="n">
        <v>-24149.49</v>
      </c>
      <c r="G11" s="28" t="s">
        <v>108</v>
      </c>
      <c r="H11" s="28" t="s">
        <v>913</v>
      </c>
      <c r="I11" s="28" t="s">
        <v>910</v>
      </c>
      <c r="J11" s="28" t="s">
        <v>910</v>
      </c>
      <c r="K11" s="28"/>
      <c r="L11" s="28" t="s">
        <v>911</v>
      </c>
      <c r="M11" s="28"/>
      <c r="N11" s="28"/>
      <c r="O11" s="28"/>
      <c r="P11" s="28"/>
    </row>
    <row r="12" customFormat="false" ht="15" hidden="false" customHeight="false" outlineLevel="0" collapsed="false">
      <c r="A12" s="28" t="s">
        <v>914</v>
      </c>
      <c r="B12" s="28" t="s">
        <v>915</v>
      </c>
      <c r="C12" s="28" t="s">
        <v>916</v>
      </c>
      <c r="D12" s="28" t="s">
        <v>907</v>
      </c>
      <c r="E12" s="28" t="s">
        <v>908</v>
      </c>
      <c r="F12" s="32" t="n">
        <v>3900.58</v>
      </c>
      <c r="G12" s="28" t="s">
        <v>108</v>
      </c>
      <c r="H12" s="28" t="s">
        <v>917</v>
      </c>
      <c r="I12" s="28" t="s">
        <v>889</v>
      </c>
      <c r="J12" s="28" t="s">
        <v>889</v>
      </c>
      <c r="K12" s="28"/>
      <c r="L12" s="28" t="s">
        <v>911</v>
      </c>
      <c r="M12" s="28"/>
      <c r="N12" s="28"/>
      <c r="O12" s="28"/>
      <c r="P12" s="28"/>
    </row>
    <row r="13" customFormat="false" ht="15" hidden="false" customHeight="false" outlineLevel="0" collapsed="false">
      <c r="A13" s="28" t="s">
        <v>918</v>
      </c>
      <c r="B13" s="28" t="s">
        <v>919</v>
      </c>
      <c r="C13" s="28" t="s">
        <v>161</v>
      </c>
      <c r="D13" s="28" t="s">
        <v>907</v>
      </c>
      <c r="E13" s="28" t="s">
        <v>908</v>
      </c>
      <c r="F13" s="32" t="n">
        <v>-893.91</v>
      </c>
      <c r="G13" s="28" t="s">
        <v>108</v>
      </c>
      <c r="H13" s="28" t="s">
        <v>913</v>
      </c>
      <c r="I13" s="28" t="s">
        <v>910</v>
      </c>
      <c r="J13" s="28" t="s">
        <v>910</v>
      </c>
      <c r="K13" s="28"/>
      <c r="L13" s="28" t="s">
        <v>911</v>
      </c>
      <c r="M13" s="28"/>
      <c r="N13" s="28"/>
      <c r="O13" s="28"/>
      <c r="P13" s="28"/>
    </row>
    <row r="14" customFormat="false" ht="15" hidden="false" customHeight="false" outlineLevel="0" collapsed="false">
      <c r="A14" s="28" t="s">
        <v>920</v>
      </c>
      <c r="B14" s="28" t="s">
        <v>886</v>
      </c>
      <c r="C14" s="28" t="s">
        <v>887</v>
      </c>
      <c r="D14" s="28" t="s">
        <v>907</v>
      </c>
      <c r="E14" s="28" t="s">
        <v>908</v>
      </c>
      <c r="F14" s="32" t="n">
        <v>117214.11</v>
      </c>
      <c r="G14" s="28" t="s">
        <v>108</v>
      </c>
      <c r="H14" s="28" t="s">
        <v>917</v>
      </c>
      <c r="I14" s="28" t="s">
        <v>889</v>
      </c>
      <c r="J14" s="28" t="s">
        <v>889</v>
      </c>
      <c r="K14" s="28"/>
      <c r="L14" s="28" t="s">
        <v>911</v>
      </c>
      <c r="M14" s="28"/>
      <c r="N14" s="28"/>
      <c r="O14" s="28"/>
      <c r="P14" s="28"/>
    </row>
    <row r="15" customFormat="false" ht="15" hidden="false" customHeight="false" outlineLevel="0" collapsed="false">
      <c r="A15" s="28" t="s">
        <v>921</v>
      </c>
      <c r="B15" s="28" t="s">
        <v>915</v>
      </c>
      <c r="C15" s="28" t="s">
        <v>916</v>
      </c>
      <c r="D15" s="28" t="s">
        <v>907</v>
      </c>
      <c r="E15" s="28" t="s">
        <v>908</v>
      </c>
      <c r="F15" s="32" t="n">
        <v>-243.94</v>
      </c>
      <c r="G15" s="28" t="s">
        <v>108</v>
      </c>
      <c r="H15" s="28" t="s">
        <v>913</v>
      </c>
      <c r="I15" s="28" t="s">
        <v>910</v>
      </c>
      <c r="J15" s="28" t="s">
        <v>910</v>
      </c>
      <c r="K15" s="28"/>
      <c r="L15" s="28" t="s">
        <v>911</v>
      </c>
      <c r="M15" s="28"/>
      <c r="N15" s="28"/>
      <c r="O15" s="28"/>
      <c r="P15" s="28"/>
    </row>
    <row r="16" customFormat="false" ht="15" hidden="false" customHeight="false" outlineLevel="0" collapsed="false">
      <c r="A16" s="28" t="s">
        <v>922</v>
      </c>
      <c r="B16" s="28" t="s">
        <v>923</v>
      </c>
      <c r="C16" s="28" t="s">
        <v>924</v>
      </c>
      <c r="D16" s="28" t="s">
        <v>907</v>
      </c>
      <c r="E16" s="28" t="s">
        <v>908</v>
      </c>
      <c r="F16" s="32" t="n">
        <v>-14754.82</v>
      </c>
      <c r="G16" s="28" t="s">
        <v>108</v>
      </c>
      <c r="H16" s="28" t="s">
        <v>913</v>
      </c>
      <c r="I16" s="28" t="s">
        <v>910</v>
      </c>
      <c r="J16" s="28" t="s">
        <v>910</v>
      </c>
      <c r="K16" s="28"/>
      <c r="L16" s="28" t="s">
        <v>911</v>
      </c>
      <c r="M16" s="28"/>
      <c r="N16" s="28"/>
      <c r="O16" s="28"/>
      <c r="P16" s="28"/>
    </row>
    <row r="17" customFormat="false" ht="15" hidden="false" customHeight="false" outlineLevel="0" collapsed="false">
      <c r="A17" s="28" t="s">
        <v>925</v>
      </c>
      <c r="B17" s="28" t="s">
        <v>919</v>
      </c>
      <c r="C17" s="28" t="s">
        <v>161</v>
      </c>
      <c r="D17" s="28" t="s">
        <v>907</v>
      </c>
      <c r="E17" s="28" t="s">
        <v>908</v>
      </c>
      <c r="F17" s="32" t="n">
        <v>13690.71</v>
      </c>
      <c r="G17" s="28" t="s">
        <v>108</v>
      </c>
      <c r="H17" s="28" t="s">
        <v>926</v>
      </c>
      <c r="I17" s="28" t="s">
        <v>881</v>
      </c>
      <c r="J17" s="28" t="s">
        <v>881</v>
      </c>
      <c r="K17" s="28"/>
      <c r="L17" s="28" t="s">
        <v>911</v>
      </c>
      <c r="M17" s="28"/>
      <c r="N17" s="28"/>
      <c r="O17" s="28"/>
      <c r="P17" s="28"/>
    </row>
    <row r="18" customFormat="false" ht="15" hidden="false" customHeight="false" outlineLevel="0" collapsed="false">
      <c r="A18" s="28" t="s">
        <v>927</v>
      </c>
      <c r="B18" s="28" t="s">
        <v>877</v>
      </c>
      <c r="C18" s="28" t="s">
        <v>104</v>
      </c>
      <c r="D18" s="28" t="s">
        <v>907</v>
      </c>
      <c r="E18" s="28" t="s">
        <v>908</v>
      </c>
      <c r="F18" s="32" t="n">
        <v>84741.13</v>
      </c>
      <c r="G18" s="28" t="s">
        <v>108</v>
      </c>
      <c r="H18" s="28" t="s">
        <v>917</v>
      </c>
      <c r="I18" s="28" t="s">
        <v>889</v>
      </c>
      <c r="J18" s="28" t="s">
        <v>889</v>
      </c>
      <c r="K18" s="28"/>
      <c r="L18" s="28" t="s">
        <v>911</v>
      </c>
      <c r="M18" s="28"/>
      <c r="N18" s="28"/>
      <c r="O18" s="28"/>
      <c r="P18" s="28"/>
    </row>
    <row r="19" customFormat="false" ht="15" hidden="false" customHeight="false" outlineLevel="0" collapsed="false">
      <c r="A19" s="28" t="s">
        <v>928</v>
      </c>
      <c r="B19" s="28" t="s">
        <v>923</v>
      </c>
      <c r="C19" s="28" t="s">
        <v>924</v>
      </c>
      <c r="D19" s="28" t="s">
        <v>907</v>
      </c>
      <c r="E19" s="28" t="s">
        <v>908</v>
      </c>
      <c r="F19" s="32" t="n">
        <v>-14754.82</v>
      </c>
      <c r="G19" s="28" t="s">
        <v>108</v>
      </c>
      <c r="H19" s="28" t="s">
        <v>929</v>
      </c>
      <c r="I19" s="28" t="s">
        <v>910</v>
      </c>
      <c r="J19" s="28" t="s">
        <v>910</v>
      </c>
      <c r="K19" s="28"/>
      <c r="L19" s="28" t="s">
        <v>911</v>
      </c>
      <c r="M19" s="28"/>
      <c r="N19" s="28"/>
      <c r="O19" s="28"/>
      <c r="P19" s="28"/>
    </row>
    <row r="20" customFormat="false" ht="15" hidden="false" customHeight="false" outlineLevel="0" collapsed="false">
      <c r="A20" s="28" t="s">
        <v>930</v>
      </c>
      <c r="B20" s="28" t="s">
        <v>931</v>
      </c>
      <c r="C20" s="28" t="s">
        <v>932</v>
      </c>
      <c r="D20" s="28" t="s">
        <v>907</v>
      </c>
      <c r="E20" s="28" t="s">
        <v>908</v>
      </c>
      <c r="F20" s="32" t="n">
        <v>961682.59</v>
      </c>
      <c r="G20" s="28" t="s">
        <v>108</v>
      </c>
      <c r="H20" s="28" t="s">
        <v>926</v>
      </c>
      <c r="I20" s="28" t="s">
        <v>881</v>
      </c>
      <c r="J20" s="28" t="s">
        <v>881</v>
      </c>
      <c r="K20" s="28"/>
      <c r="L20" s="28" t="s">
        <v>911</v>
      </c>
      <c r="M20" s="28"/>
      <c r="N20" s="28"/>
      <c r="O20" s="28"/>
      <c r="P20" s="28"/>
    </row>
    <row r="21" customFormat="false" ht="15" hidden="false" customHeight="false" outlineLevel="0" collapsed="false">
      <c r="A21" s="28" t="s">
        <v>933</v>
      </c>
      <c r="B21" s="28" t="s">
        <v>915</v>
      </c>
      <c r="C21" s="28" t="s">
        <v>916</v>
      </c>
      <c r="D21" s="28" t="s">
        <v>907</v>
      </c>
      <c r="E21" s="28" t="s">
        <v>908</v>
      </c>
      <c r="F21" s="32" t="n">
        <v>3735.99</v>
      </c>
      <c r="G21" s="28" t="s">
        <v>108</v>
      </c>
      <c r="H21" s="28" t="s">
        <v>926</v>
      </c>
      <c r="I21" s="28" t="s">
        <v>881</v>
      </c>
      <c r="J21" s="28" t="s">
        <v>881</v>
      </c>
      <c r="K21" s="28"/>
      <c r="L21" s="28" t="s">
        <v>911</v>
      </c>
      <c r="M21" s="28"/>
      <c r="N21" s="28"/>
      <c r="O21" s="28"/>
      <c r="P21" s="28"/>
    </row>
    <row r="22" customFormat="false" ht="15" hidden="false" customHeight="false" outlineLevel="0" collapsed="false">
      <c r="A22" s="28" t="s">
        <v>934</v>
      </c>
      <c r="B22" s="28" t="s">
        <v>877</v>
      </c>
      <c r="C22" s="28" t="s">
        <v>104</v>
      </c>
      <c r="D22" s="28" t="s">
        <v>907</v>
      </c>
      <c r="E22" s="28" t="s">
        <v>908</v>
      </c>
      <c r="F22" s="32" t="n">
        <v>69998.34</v>
      </c>
      <c r="G22" s="28" t="s">
        <v>108</v>
      </c>
      <c r="H22" s="28" t="s">
        <v>926</v>
      </c>
      <c r="I22" s="28" t="s">
        <v>881</v>
      </c>
      <c r="J22" s="28" t="s">
        <v>881</v>
      </c>
      <c r="K22" s="28"/>
      <c r="L22" s="28" t="s">
        <v>911</v>
      </c>
      <c r="M22" s="28"/>
      <c r="N22" s="28"/>
      <c r="O22" s="28"/>
      <c r="P22" s="28"/>
    </row>
    <row r="23" customFormat="false" ht="15" hidden="false" customHeight="false" outlineLevel="0" collapsed="false">
      <c r="A23" s="28" t="s">
        <v>935</v>
      </c>
      <c r="B23" s="28" t="s">
        <v>877</v>
      </c>
      <c r="C23" s="28" t="s">
        <v>104</v>
      </c>
      <c r="D23" s="28" t="s">
        <v>907</v>
      </c>
      <c r="E23" s="28" t="s">
        <v>908</v>
      </c>
      <c r="F23" s="32" t="n">
        <v>-3208.74</v>
      </c>
      <c r="G23" s="28" t="s">
        <v>108</v>
      </c>
      <c r="H23" s="28" t="s">
        <v>913</v>
      </c>
      <c r="I23" s="28" t="s">
        <v>910</v>
      </c>
      <c r="J23" s="28" t="s">
        <v>910</v>
      </c>
      <c r="K23" s="28"/>
      <c r="L23" s="28" t="s">
        <v>911</v>
      </c>
      <c r="M23" s="28"/>
      <c r="N23" s="28"/>
      <c r="O23" s="28"/>
      <c r="P23" s="28"/>
    </row>
    <row r="24" customFormat="false" ht="15" hidden="false" customHeight="false" outlineLevel="0" collapsed="false">
      <c r="A24" s="28" t="s">
        <v>936</v>
      </c>
      <c r="B24" s="28" t="s">
        <v>886</v>
      </c>
      <c r="C24" s="28" t="s">
        <v>887</v>
      </c>
      <c r="D24" s="28" t="s">
        <v>907</v>
      </c>
      <c r="E24" s="28" t="s">
        <v>908</v>
      </c>
      <c r="F24" s="32" t="n">
        <v>7271.2</v>
      </c>
      <c r="G24" s="28" t="s">
        <v>108</v>
      </c>
      <c r="H24" s="28" t="s">
        <v>909</v>
      </c>
      <c r="I24" s="28" t="s">
        <v>910</v>
      </c>
      <c r="J24" s="28" t="s">
        <v>910</v>
      </c>
      <c r="K24" s="28"/>
      <c r="L24" s="28" t="s">
        <v>911</v>
      </c>
      <c r="M24" s="28"/>
      <c r="N24" s="28"/>
      <c r="O24" s="28"/>
      <c r="P24" s="28"/>
    </row>
    <row r="25" customFormat="false" ht="15" hidden="false" customHeight="false" outlineLevel="0" collapsed="false">
      <c r="A25" s="28" t="s">
        <v>937</v>
      </c>
      <c r="B25" s="28" t="s">
        <v>919</v>
      </c>
      <c r="C25" s="28" t="s">
        <v>161</v>
      </c>
      <c r="D25" s="28" t="s">
        <v>907</v>
      </c>
      <c r="E25" s="28" t="s">
        <v>908</v>
      </c>
      <c r="F25" s="32" t="n">
        <v>-893.91</v>
      </c>
      <c r="G25" s="28" t="s">
        <v>108</v>
      </c>
      <c r="H25" s="28" t="s">
        <v>929</v>
      </c>
      <c r="I25" s="28" t="s">
        <v>910</v>
      </c>
      <c r="J25" s="28" t="s">
        <v>910</v>
      </c>
      <c r="K25" s="28"/>
      <c r="L25" s="28" t="s">
        <v>911</v>
      </c>
      <c r="M25" s="28"/>
      <c r="N25" s="28"/>
      <c r="O25" s="28"/>
      <c r="P25" s="28"/>
    </row>
    <row r="26" customFormat="false" ht="15" hidden="false" customHeight="false" outlineLevel="0" collapsed="false">
      <c r="A26" s="28" t="s">
        <v>938</v>
      </c>
      <c r="B26" s="28" t="s">
        <v>905</v>
      </c>
      <c r="C26" s="28" t="s">
        <v>906</v>
      </c>
      <c r="D26" s="28" t="s">
        <v>907</v>
      </c>
      <c r="E26" s="28" t="s">
        <v>908</v>
      </c>
      <c r="F26" s="32" t="n">
        <v>-24149.49</v>
      </c>
      <c r="G26" s="28" t="s">
        <v>108</v>
      </c>
      <c r="H26" s="28" t="s">
        <v>929</v>
      </c>
      <c r="I26" s="28" t="s">
        <v>910</v>
      </c>
      <c r="J26" s="28" t="s">
        <v>910</v>
      </c>
      <c r="K26" s="28"/>
      <c r="L26" s="28" t="s">
        <v>911</v>
      </c>
      <c r="M26" s="28"/>
      <c r="N26" s="28"/>
      <c r="O26" s="28"/>
      <c r="P26" s="28"/>
    </row>
    <row r="27" customFormat="false" ht="15" hidden="false" customHeight="false" outlineLevel="0" collapsed="false">
      <c r="A27" s="28" t="s">
        <v>939</v>
      </c>
      <c r="B27" s="28" t="s">
        <v>905</v>
      </c>
      <c r="C27" s="28" t="s">
        <v>906</v>
      </c>
      <c r="D27" s="28" t="s">
        <v>907</v>
      </c>
      <c r="E27" s="28" t="s">
        <v>908</v>
      </c>
      <c r="F27" s="32" t="n">
        <v>369859.88</v>
      </c>
      <c r="G27" s="28" t="s">
        <v>108</v>
      </c>
      <c r="H27" s="28" t="s">
        <v>926</v>
      </c>
      <c r="I27" s="28" t="s">
        <v>881</v>
      </c>
      <c r="J27" s="28" t="s">
        <v>881</v>
      </c>
      <c r="K27" s="28"/>
      <c r="L27" s="28" t="s">
        <v>911</v>
      </c>
      <c r="M27" s="28"/>
      <c r="N27" s="28"/>
      <c r="O27" s="28"/>
      <c r="P27" s="28"/>
    </row>
    <row r="28" customFormat="false" ht="15" hidden="false" customHeight="false" outlineLevel="0" collapsed="false">
      <c r="A28" s="28" t="s">
        <v>940</v>
      </c>
      <c r="B28" s="28" t="s">
        <v>915</v>
      </c>
      <c r="C28" s="28" t="s">
        <v>916</v>
      </c>
      <c r="D28" s="28" t="s">
        <v>907</v>
      </c>
      <c r="E28" s="28" t="s">
        <v>908</v>
      </c>
      <c r="F28" s="32" t="n">
        <v>-243.94</v>
      </c>
      <c r="G28" s="28" t="s">
        <v>108</v>
      </c>
      <c r="H28" s="28" t="s">
        <v>929</v>
      </c>
      <c r="I28" s="28" t="s">
        <v>910</v>
      </c>
      <c r="J28" s="28" t="s">
        <v>910</v>
      </c>
      <c r="K28" s="28"/>
      <c r="L28" s="28" t="s">
        <v>911</v>
      </c>
      <c r="M28" s="28"/>
      <c r="N28" s="28"/>
      <c r="O28" s="28"/>
      <c r="P28" s="28"/>
    </row>
    <row r="29" customFormat="false" ht="15" hidden="false" customHeight="false" outlineLevel="0" collapsed="false">
      <c r="A29" s="28" t="s">
        <v>941</v>
      </c>
      <c r="B29" s="28" t="s">
        <v>915</v>
      </c>
      <c r="C29" s="28" t="s">
        <v>916</v>
      </c>
      <c r="D29" s="28" t="s">
        <v>907</v>
      </c>
      <c r="E29" s="28" t="s">
        <v>908</v>
      </c>
      <c r="F29" s="32" t="n">
        <v>243.94</v>
      </c>
      <c r="G29" s="28" t="s">
        <v>108</v>
      </c>
      <c r="H29" s="28" t="s">
        <v>909</v>
      </c>
      <c r="I29" s="28" t="s">
        <v>910</v>
      </c>
      <c r="J29" s="28" t="s">
        <v>910</v>
      </c>
      <c r="K29" s="28"/>
      <c r="L29" s="28" t="s">
        <v>911</v>
      </c>
      <c r="M29" s="28"/>
      <c r="N29" s="28"/>
      <c r="O29" s="28"/>
      <c r="P29" s="28"/>
    </row>
    <row r="30" customFormat="false" ht="15" hidden="false" customHeight="false" outlineLevel="0" collapsed="false">
      <c r="A30" s="28" t="s">
        <v>942</v>
      </c>
      <c r="B30" s="28" t="s">
        <v>919</v>
      </c>
      <c r="C30" s="28" t="s">
        <v>161</v>
      </c>
      <c r="D30" s="28" t="s">
        <v>907</v>
      </c>
      <c r="E30" s="28" t="s">
        <v>908</v>
      </c>
      <c r="F30" s="32" t="n">
        <v>893.91</v>
      </c>
      <c r="G30" s="28" t="s">
        <v>108</v>
      </c>
      <c r="H30" s="28" t="s">
        <v>909</v>
      </c>
      <c r="I30" s="28" t="s">
        <v>910</v>
      </c>
      <c r="J30" s="28" t="s">
        <v>910</v>
      </c>
      <c r="K30" s="28"/>
      <c r="L30" s="28" t="s">
        <v>911</v>
      </c>
      <c r="M30" s="28"/>
      <c r="N30" s="28"/>
      <c r="O30" s="28"/>
      <c r="P30" s="28"/>
    </row>
    <row r="31" customFormat="false" ht="15" hidden="false" customHeight="false" outlineLevel="0" collapsed="false">
      <c r="A31" s="28" t="s">
        <v>943</v>
      </c>
      <c r="B31" s="28" t="s">
        <v>886</v>
      </c>
      <c r="C31" s="28" t="s">
        <v>887</v>
      </c>
      <c r="D31" s="28" t="s">
        <v>907</v>
      </c>
      <c r="E31" s="28" t="s">
        <v>908</v>
      </c>
      <c r="F31" s="32" t="n">
        <v>111361.7</v>
      </c>
      <c r="G31" s="28" t="s">
        <v>108</v>
      </c>
      <c r="H31" s="28" t="s">
        <v>926</v>
      </c>
      <c r="I31" s="28" t="s">
        <v>881</v>
      </c>
      <c r="J31" s="28" t="s">
        <v>881</v>
      </c>
      <c r="K31" s="28"/>
      <c r="L31" s="28" t="s">
        <v>911</v>
      </c>
      <c r="M31" s="28"/>
      <c r="N31" s="28"/>
      <c r="O31" s="28"/>
      <c r="P31" s="28"/>
    </row>
    <row r="32" customFormat="false" ht="15" hidden="false" customHeight="false" outlineLevel="0" collapsed="false">
      <c r="A32" s="28" t="s">
        <v>944</v>
      </c>
      <c r="B32" s="28" t="s">
        <v>931</v>
      </c>
      <c r="C32" s="28" t="s">
        <v>932</v>
      </c>
      <c r="D32" s="28" t="s">
        <v>907</v>
      </c>
      <c r="E32" s="28" t="s">
        <v>908</v>
      </c>
      <c r="F32" s="32" t="n">
        <v>60756.75</v>
      </c>
      <c r="G32" s="28" t="s">
        <v>108</v>
      </c>
      <c r="H32" s="28" t="s">
        <v>909</v>
      </c>
      <c r="I32" s="28" t="s">
        <v>910</v>
      </c>
      <c r="J32" s="28" t="s">
        <v>910</v>
      </c>
      <c r="K32" s="28"/>
      <c r="L32" s="28" t="s">
        <v>911</v>
      </c>
      <c r="M32" s="28"/>
      <c r="N32" s="28"/>
      <c r="O32" s="28"/>
      <c r="P32" s="28"/>
    </row>
    <row r="33" customFormat="false" ht="15" hidden="false" customHeight="false" outlineLevel="0" collapsed="false">
      <c r="A33" s="28" t="s">
        <v>945</v>
      </c>
      <c r="B33" s="28" t="s">
        <v>931</v>
      </c>
      <c r="C33" s="28" t="s">
        <v>932</v>
      </c>
      <c r="D33" s="28" t="s">
        <v>907</v>
      </c>
      <c r="E33" s="28" t="s">
        <v>908</v>
      </c>
      <c r="F33" s="32" t="n">
        <v>-60756.75</v>
      </c>
      <c r="G33" s="28" t="s">
        <v>108</v>
      </c>
      <c r="H33" s="28" t="s">
        <v>929</v>
      </c>
      <c r="I33" s="28" t="s">
        <v>910</v>
      </c>
      <c r="J33" s="28" t="s">
        <v>910</v>
      </c>
      <c r="K33" s="28"/>
      <c r="L33" s="28" t="s">
        <v>911</v>
      </c>
      <c r="M33" s="28"/>
      <c r="N33" s="28"/>
      <c r="O33" s="28"/>
      <c r="P33" s="28"/>
    </row>
    <row r="34" customFormat="false" ht="15" hidden="false" customHeight="false" outlineLevel="0" collapsed="false">
      <c r="A34" s="28" t="s">
        <v>946</v>
      </c>
      <c r="B34" s="28" t="s">
        <v>923</v>
      </c>
      <c r="C34" s="28" t="s">
        <v>924</v>
      </c>
      <c r="D34" s="28" t="s">
        <v>907</v>
      </c>
      <c r="E34" s="28" t="s">
        <v>908</v>
      </c>
      <c r="F34" s="32" t="n">
        <v>225976.66</v>
      </c>
      <c r="G34" s="28" t="s">
        <v>108</v>
      </c>
      <c r="H34" s="28" t="s">
        <v>926</v>
      </c>
      <c r="I34" s="28" t="s">
        <v>881</v>
      </c>
      <c r="J34" s="28" t="s">
        <v>881</v>
      </c>
      <c r="K34" s="28"/>
      <c r="L34" s="28" t="s">
        <v>911</v>
      </c>
      <c r="M34" s="28"/>
      <c r="N34" s="28"/>
      <c r="O34" s="28"/>
      <c r="P34" s="28"/>
    </row>
    <row r="35" customFormat="false" ht="15" hidden="false" customHeight="false" outlineLevel="0" collapsed="false">
      <c r="A35" s="28" t="s">
        <v>947</v>
      </c>
      <c r="B35" s="28" t="s">
        <v>923</v>
      </c>
      <c r="C35" s="28" t="s">
        <v>924</v>
      </c>
      <c r="D35" s="28" t="s">
        <v>907</v>
      </c>
      <c r="E35" s="28" t="s">
        <v>908</v>
      </c>
      <c r="F35" s="32" t="n">
        <v>14754.82</v>
      </c>
      <c r="G35" s="28" t="s">
        <v>108</v>
      </c>
      <c r="H35" s="28" t="s">
        <v>909</v>
      </c>
      <c r="I35" s="28" t="s">
        <v>910</v>
      </c>
      <c r="J35" s="28" t="s">
        <v>910</v>
      </c>
      <c r="K35" s="28"/>
      <c r="L35" s="28" t="s">
        <v>911</v>
      </c>
      <c r="M35" s="28"/>
      <c r="N35" s="28"/>
      <c r="O35" s="28"/>
      <c r="P35" s="28"/>
    </row>
    <row r="36" customFormat="false" ht="15" hidden="false" customHeight="false" outlineLevel="0" collapsed="false">
      <c r="A36" s="28" t="s">
        <v>948</v>
      </c>
      <c r="B36" s="28" t="s">
        <v>877</v>
      </c>
      <c r="C36" s="28" t="s">
        <v>104</v>
      </c>
      <c r="D36" s="28" t="s">
        <v>907</v>
      </c>
      <c r="E36" s="28" t="s">
        <v>908</v>
      </c>
      <c r="F36" s="32" t="n">
        <v>-3208.74</v>
      </c>
      <c r="G36" s="28" t="s">
        <v>108</v>
      </c>
      <c r="H36" s="28" t="s">
        <v>929</v>
      </c>
      <c r="I36" s="28" t="s">
        <v>910</v>
      </c>
      <c r="J36" s="28" t="s">
        <v>910</v>
      </c>
      <c r="K36" s="28"/>
      <c r="L36" s="28" t="s">
        <v>911</v>
      </c>
      <c r="M36" s="28"/>
      <c r="N36" s="28"/>
      <c r="O36" s="28"/>
      <c r="P36" s="28"/>
    </row>
    <row r="37" customFormat="false" ht="15" hidden="false" customHeight="false" outlineLevel="0" collapsed="false">
      <c r="A37" s="28" t="s">
        <v>949</v>
      </c>
      <c r="B37" s="28" t="s">
        <v>931</v>
      </c>
      <c r="C37" s="28" t="s">
        <v>932</v>
      </c>
      <c r="D37" s="28" t="s">
        <v>907</v>
      </c>
      <c r="E37" s="28" t="s">
        <v>908</v>
      </c>
      <c r="F37" s="32" t="n">
        <v>946853.44</v>
      </c>
      <c r="G37" s="28" t="s">
        <v>108</v>
      </c>
      <c r="H37" s="28" t="s">
        <v>917</v>
      </c>
      <c r="I37" s="28" t="s">
        <v>889</v>
      </c>
      <c r="J37" s="28" t="s">
        <v>889</v>
      </c>
      <c r="K37" s="28"/>
      <c r="L37" s="28" t="s">
        <v>911</v>
      </c>
      <c r="M37" s="28"/>
      <c r="N37" s="28"/>
      <c r="O37" s="28"/>
      <c r="P37" s="28"/>
    </row>
    <row r="38" customFormat="false" ht="15" hidden="false" customHeight="false" outlineLevel="0" collapsed="false">
      <c r="A38" s="28" t="s">
        <v>950</v>
      </c>
      <c r="B38" s="28" t="s">
        <v>905</v>
      </c>
      <c r="C38" s="28" t="s">
        <v>906</v>
      </c>
      <c r="D38" s="28" t="s">
        <v>907</v>
      </c>
      <c r="E38" s="28" t="s">
        <v>908</v>
      </c>
      <c r="F38" s="32" t="n">
        <v>386219.61</v>
      </c>
      <c r="G38" s="28" t="s">
        <v>108</v>
      </c>
      <c r="H38" s="28" t="s">
        <v>917</v>
      </c>
      <c r="I38" s="28" t="s">
        <v>889</v>
      </c>
      <c r="J38" s="28" t="s">
        <v>889</v>
      </c>
      <c r="K38" s="28"/>
      <c r="L38" s="28" t="s">
        <v>911</v>
      </c>
      <c r="M38" s="28"/>
      <c r="N38" s="28"/>
      <c r="O38" s="28"/>
      <c r="P38" s="28"/>
    </row>
    <row r="39" customFormat="false" ht="15" hidden="false" customHeight="false" outlineLevel="0" collapsed="false">
      <c r="A39" s="28" t="s">
        <v>951</v>
      </c>
      <c r="B39" s="28" t="s">
        <v>877</v>
      </c>
      <c r="C39" s="28" t="s">
        <v>104</v>
      </c>
      <c r="D39" s="28" t="s">
        <v>907</v>
      </c>
      <c r="E39" s="28" t="s">
        <v>908</v>
      </c>
      <c r="F39" s="32" t="n">
        <v>3208.74</v>
      </c>
      <c r="G39" s="28" t="s">
        <v>108</v>
      </c>
      <c r="H39" s="28" t="s">
        <v>909</v>
      </c>
      <c r="I39" s="28" t="s">
        <v>910</v>
      </c>
      <c r="J39" s="28" t="s">
        <v>910</v>
      </c>
      <c r="K39" s="28"/>
      <c r="L39" s="28" t="s">
        <v>911</v>
      </c>
      <c r="M39" s="28"/>
      <c r="N39" s="28"/>
      <c r="O39" s="28"/>
      <c r="P39" s="28"/>
    </row>
    <row r="40" customFormat="false" ht="15" hidden="false" customHeight="false" outlineLevel="0" collapsed="false">
      <c r="A40" s="28" t="s">
        <v>952</v>
      </c>
      <c r="B40" s="28" t="s">
        <v>886</v>
      </c>
      <c r="C40" s="28" t="s">
        <v>887</v>
      </c>
      <c r="D40" s="28" t="s">
        <v>907</v>
      </c>
      <c r="E40" s="28" t="s">
        <v>908</v>
      </c>
      <c r="F40" s="32" t="n">
        <v>-7271.2</v>
      </c>
      <c r="G40" s="28" t="s">
        <v>108</v>
      </c>
      <c r="H40" s="28" t="s">
        <v>913</v>
      </c>
      <c r="I40" s="28" t="s">
        <v>910</v>
      </c>
      <c r="J40" s="28" t="s">
        <v>910</v>
      </c>
      <c r="K40" s="28"/>
      <c r="L40" s="28" t="s">
        <v>911</v>
      </c>
      <c r="M40" s="28"/>
      <c r="N40" s="28"/>
      <c r="O40" s="28"/>
      <c r="P40" s="28"/>
    </row>
    <row r="41" customFormat="false" ht="15" hidden="false" customHeight="false" outlineLevel="0" collapsed="false">
      <c r="A41" s="28" t="s">
        <v>953</v>
      </c>
      <c r="B41" s="28" t="s">
        <v>931</v>
      </c>
      <c r="C41" s="28" t="s">
        <v>932</v>
      </c>
      <c r="D41" s="28" t="s">
        <v>907</v>
      </c>
      <c r="E41" s="28" t="s">
        <v>908</v>
      </c>
      <c r="F41" s="32" t="n">
        <v>-60756.75</v>
      </c>
      <c r="G41" s="28" t="s">
        <v>108</v>
      </c>
      <c r="H41" s="28" t="s">
        <v>913</v>
      </c>
      <c r="I41" s="28" t="s">
        <v>910</v>
      </c>
      <c r="J41" s="28" t="s">
        <v>910</v>
      </c>
      <c r="K41" s="28"/>
      <c r="L41" s="28" t="s">
        <v>911</v>
      </c>
      <c r="M41" s="28"/>
      <c r="N41" s="28"/>
      <c r="O41" s="28"/>
      <c r="P41" s="28"/>
    </row>
    <row r="42" customFormat="false" ht="15" hidden="false" customHeight="false" outlineLevel="0" collapsed="false">
      <c r="A42" s="28" t="s">
        <v>954</v>
      </c>
      <c r="B42" s="28" t="s">
        <v>886</v>
      </c>
      <c r="C42" s="28" t="s">
        <v>887</v>
      </c>
      <c r="D42" s="28" t="s">
        <v>907</v>
      </c>
      <c r="E42" s="28" t="s">
        <v>908</v>
      </c>
      <c r="F42" s="32" t="n">
        <v>-7271.2</v>
      </c>
      <c r="G42" s="28" t="s">
        <v>108</v>
      </c>
      <c r="H42" s="28" t="s">
        <v>929</v>
      </c>
      <c r="I42" s="28" t="s">
        <v>910</v>
      </c>
      <c r="J42" s="28" t="s">
        <v>910</v>
      </c>
      <c r="K42" s="28"/>
      <c r="L42" s="28" t="s">
        <v>911</v>
      </c>
      <c r="M42" s="28"/>
      <c r="N42" s="28"/>
      <c r="O42" s="28"/>
      <c r="P42" s="28"/>
    </row>
    <row r="43" customFormat="false" ht="15" hidden="false" customHeight="false" outlineLevel="0" collapsed="false">
      <c r="A43" s="28" t="s">
        <v>955</v>
      </c>
      <c r="B43" s="28" t="s">
        <v>919</v>
      </c>
      <c r="C43" s="28" t="s">
        <v>161</v>
      </c>
      <c r="D43" s="28" t="s">
        <v>907</v>
      </c>
      <c r="E43" s="28" t="s">
        <v>908</v>
      </c>
      <c r="F43" s="32" t="n">
        <v>13976.12</v>
      </c>
      <c r="G43" s="28" t="s">
        <v>108</v>
      </c>
      <c r="H43" s="28" t="s">
        <v>917</v>
      </c>
      <c r="I43" s="28" t="s">
        <v>889</v>
      </c>
      <c r="J43" s="28" t="s">
        <v>889</v>
      </c>
      <c r="K43" s="28"/>
      <c r="L43" s="28" t="s">
        <v>911</v>
      </c>
      <c r="M43" s="28"/>
      <c r="N43" s="28"/>
      <c r="O43" s="28"/>
      <c r="P43" s="28"/>
    </row>
    <row r="44" customFormat="false" ht="15" hidden="false" customHeight="false" outlineLevel="0" collapsed="false">
      <c r="A44" s="28" t="s">
        <v>956</v>
      </c>
      <c r="B44" s="28" t="s">
        <v>923</v>
      </c>
      <c r="C44" s="28" t="s">
        <v>924</v>
      </c>
      <c r="D44" s="28" t="s">
        <v>907</v>
      </c>
      <c r="E44" s="28" t="s">
        <v>908</v>
      </c>
      <c r="F44" s="32" t="n">
        <v>224481.25</v>
      </c>
      <c r="G44" s="28" t="s">
        <v>108</v>
      </c>
      <c r="H44" s="28" t="s">
        <v>917</v>
      </c>
      <c r="I44" s="28" t="s">
        <v>889</v>
      </c>
      <c r="J44" s="28" t="s">
        <v>889</v>
      </c>
      <c r="K44" s="28"/>
      <c r="L44" s="28" t="s">
        <v>911</v>
      </c>
      <c r="M44" s="28"/>
      <c r="N44" s="28"/>
      <c r="O44" s="28"/>
      <c r="P44" s="28"/>
    </row>
    <row r="45" customFormat="false" ht="15" hidden="false" customHeight="false" outlineLevel="0" collapsed="false">
      <c r="A45" s="28" t="s">
        <v>957</v>
      </c>
      <c r="B45" s="28" t="s">
        <v>919</v>
      </c>
      <c r="C45" s="28" t="s">
        <v>161</v>
      </c>
      <c r="D45" s="28" t="s">
        <v>958</v>
      </c>
      <c r="E45" s="28" t="s">
        <v>959</v>
      </c>
      <c r="F45" s="32" t="n">
        <v>5945.64</v>
      </c>
      <c r="G45" s="28" t="s">
        <v>108</v>
      </c>
      <c r="H45" s="28" t="s">
        <v>960</v>
      </c>
      <c r="I45" s="28" t="s">
        <v>889</v>
      </c>
      <c r="J45" s="28" t="s">
        <v>889</v>
      </c>
      <c r="K45" s="28" t="s">
        <v>961</v>
      </c>
      <c r="L45" s="28" t="s">
        <v>911</v>
      </c>
      <c r="M45" s="28" t="s">
        <v>962</v>
      </c>
      <c r="N45" s="28"/>
      <c r="O45" s="28"/>
      <c r="P45" s="28"/>
    </row>
    <row r="46" customFormat="false" ht="15" hidden="false" customHeight="false" outlineLevel="0" collapsed="false">
      <c r="A46" s="28" t="s">
        <v>963</v>
      </c>
      <c r="B46" s="28" t="s">
        <v>915</v>
      </c>
      <c r="C46" s="28" t="s">
        <v>916</v>
      </c>
      <c r="D46" s="28" t="s">
        <v>958</v>
      </c>
      <c r="E46" s="28" t="s">
        <v>959</v>
      </c>
      <c r="F46" s="32" t="n">
        <v>1033.36</v>
      </c>
      <c r="G46" s="28" t="s">
        <v>108</v>
      </c>
      <c r="H46" s="28" t="s">
        <v>964</v>
      </c>
      <c r="I46" s="28" t="s">
        <v>881</v>
      </c>
      <c r="J46" s="28" t="s">
        <v>881</v>
      </c>
      <c r="K46" s="28" t="s">
        <v>965</v>
      </c>
      <c r="L46" s="28" t="s">
        <v>911</v>
      </c>
      <c r="M46" s="28" t="s">
        <v>962</v>
      </c>
      <c r="N46" s="28"/>
      <c r="O46" s="28"/>
      <c r="P46" s="28"/>
    </row>
    <row r="47" customFormat="false" ht="15" hidden="false" customHeight="false" outlineLevel="0" collapsed="false">
      <c r="A47" s="28" t="s">
        <v>966</v>
      </c>
      <c r="B47" s="28" t="s">
        <v>886</v>
      </c>
      <c r="C47" s="28" t="s">
        <v>887</v>
      </c>
      <c r="D47" s="28" t="s">
        <v>958</v>
      </c>
      <c r="E47" s="28" t="s">
        <v>959</v>
      </c>
      <c r="F47" s="32" t="n">
        <v>10645.58</v>
      </c>
      <c r="G47" s="28" t="s">
        <v>108</v>
      </c>
      <c r="H47" s="28" t="s">
        <v>964</v>
      </c>
      <c r="I47" s="28" t="s">
        <v>881</v>
      </c>
      <c r="J47" s="28" t="s">
        <v>881</v>
      </c>
      <c r="K47" s="28" t="s">
        <v>965</v>
      </c>
      <c r="L47" s="28" t="s">
        <v>911</v>
      </c>
      <c r="M47" s="28" t="s">
        <v>962</v>
      </c>
      <c r="N47" s="28"/>
      <c r="O47" s="28"/>
      <c r="P47" s="28"/>
    </row>
    <row r="48" customFormat="false" ht="15" hidden="false" customHeight="false" outlineLevel="0" collapsed="false">
      <c r="A48" s="28" t="s">
        <v>967</v>
      </c>
      <c r="B48" s="28" t="s">
        <v>886</v>
      </c>
      <c r="C48" s="28" t="s">
        <v>887</v>
      </c>
      <c r="D48" s="28" t="s">
        <v>958</v>
      </c>
      <c r="E48" s="28" t="s">
        <v>959</v>
      </c>
      <c r="F48" s="32" t="n">
        <v>10287.62</v>
      </c>
      <c r="G48" s="28" t="s">
        <v>108</v>
      </c>
      <c r="H48" s="28" t="s">
        <v>968</v>
      </c>
      <c r="I48" s="28" t="s">
        <v>889</v>
      </c>
      <c r="J48" s="28" t="s">
        <v>969</v>
      </c>
      <c r="K48" s="28" t="s">
        <v>970</v>
      </c>
      <c r="L48" s="28" t="s">
        <v>911</v>
      </c>
      <c r="M48" s="28"/>
      <c r="N48" s="28"/>
      <c r="O48" s="28"/>
      <c r="P48" s="28"/>
    </row>
    <row r="49" customFormat="false" ht="15" hidden="false" customHeight="false" outlineLevel="0" collapsed="false">
      <c r="A49" s="28" t="s">
        <v>971</v>
      </c>
      <c r="B49" s="28" t="s">
        <v>877</v>
      </c>
      <c r="C49" s="28" t="s">
        <v>104</v>
      </c>
      <c r="D49" s="28" t="s">
        <v>958</v>
      </c>
      <c r="E49" s="28" t="s">
        <v>959</v>
      </c>
      <c r="F49" s="32" t="n">
        <v>27983.27</v>
      </c>
      <c r="G49" s="28" t="s">
        <v>108</v>
      </c>
      <c r="H49" s="28" t="s">
        <v>964</v>
      </c>
      <c r="I49" s="28" t="s">
        <v>881</v>
      </c>
      <c r="J49" s="28" t="s">
        <v>881</v>
      </c>
      <c r="K49" s="28" t="s">
        <v>965</v>
      </c>
      <c r="L49" s="28" t="s">
        <v>911</v>
      </c>
      <c r="M49" s="28" t="s">
        <v>962</v>
      </c>
      <c r="N49" s="28"/>
      <c r="O49" s="28"/>
      <c r="P49" s="28"/>
    </row>
    <row r="50" customFormat="false" ht="15" hidden="false" customHeight="false" outlineLevel="0" collapsed="false">
      <c r="A50" s="28" t="s">
        <v>972</v>
      </c>
      <c r="B50" s="28" t="s">
        <v>886</v>
      </c>
      <c r="C50" s="28" t="s">
        <v>887</v>
      </c>
      <c r="D50" s="28" t="s">
        <v>958</v>
      </c>
      <c r="E50" s="28" t="s">
        <v>959</v>
      </c>
      <c r="F50" s="32" t="n">
        <v>177240.36</v>
      </c>
      <c r="G50" s="28" t="s">
        <v>108</v>
      </c>
      <c r="H50" s="28" t="s">
        <v>973</v>
      </c>
      <c r="I50" s="28" t="s">
        <v>889</v>
      </c>
      <c r="J50" s="28" t="s">
        <v>889</v>
      </c>
      <c r="K50" s="28" t="s">
        <v>974</v>
      </c>
      <c r="L50" s="28" t="s">
        <v>975</v>
      </c>
      <c r="M50" s="28"/>
      <c r="N50" s="28"/>
      <c r="O50" s="28"/>
      <c r="P50" s="28"/>
    </row>
    <row r="51" customFormat="false" ht="15" hidden="false" customHeight="false" outlineLevel="0" collapsed="false">
      <c r="A51" s="28" t="s">
        <v>976</v>
      </c>
      <c r="B51" s="28" t="s">
        <v>905</v>
      </c>
      <c r="C51" s="28" t="s">
        <v>906</v>
      </c>
      <c r="D51" s="28" t="s">
        <v>958</v>
      </c>
      <c r="E51" s="28" t="s">
        <v>959</v>
      </c>
      <c r="F51" s="32" t="n">
        <v>1033.36</v>
      </c>
      <c r="G51" s="28" t="s">
        <v>108</v>
      </c>
      <c r="H51" s="28" t="s">
        <v>964</v>
      </c>
      <c r="I51" s="28" t="s">
        <v>881</v>
      </c>
      <c r="J51" s="28" t="s">
        <v>881</v>
      </c>
      <c r="K51" s="28" t="s">
        <v>965</v>
      </c>
      <c r="L51" s="28" t="s">
        <v>911</v>
      </c>
      <c r="M51" s="28" t="s">
        <v>962</v>
      </c>
      <c r="N51" s="28"/>
      <c r="O51" s="28"/>
      <c r="P51" s="28"/>
    </row>
    <row r="52" customFormat="false" ht="15" hidden="false" customHeight="false" outlineLevel="0" collapsed="false">
      <c r="A52" s="28" t="s">
        <v>977</v>
      </c>
      <c r="B52" s="28" t="s">
        <v>905</v>
      </c>
      <c r="C52" s="28" t="s">
        <v>906</v>
      </c>
      <c r="D52" s="28" t="s">
        <v>958</v>
      </c>
      <c r="E52" s="28" t="s">
        <v>959</v>
      </c>
      <c r="F52" s="32" t="n">
        <v>1189.43</v>
      </c>
      <c r="G52" s="28" t="s">
        <v>108</v>
      </c>
      <c r="H52" s="28" t="s">
        <v>960</v>
      </c>
      <c r="I52" s="28" t="s">
        <v>889</v>
      </c>
      <c r="J52" s="28" t="s">
        <v>889</v>
      </c>
      <c r="K52" s="28" t="s">
        <v>961</v>
      </c>
      <c r="L52" s="28" t="s">
        <v>911</v>
      </c>
      <c r="M52" s="28" t="s">
        <v>962</v>
      </c>
      <c r="N52" s="28"/>
      <c r="O52" s="28"/>
      <c r="P52" s="28"/>
    </row>
    <row r="53" customFormat="false" ht="15" hidden="false" customHeight="false" outlineLevel="0" collapsed="false">
      <c r="A53" s="28" t="s">
        <v>978</v>
      </c>
      <c r="B53" s="28" t="s">
        <v>886</v>
      </c>
      <c r="C53" s="28" t="s">
        <v>887</v>
      </c>
      <c r="D53" s="28" t="s">
        <v>958</v>
      </c>
      <c r="E53" s="28" t="s">
        <v>959</v>
      </c>
      <c r="F53" s="32" t="n">
        <v>18915.76</v>
      </c>
      <c r="G53" s="28" t="s">
        <v>108</v>
      </c>
      <c r="H53" s="28" t="s">
        <v>960</v>
      </c>
      <c r="I53" s="28" t="s">
        <v>889</v>
      </c>
      <c r="J53" s="28" t="s">
        <v>889</v>
      </c>
      <c r="K53" s="28" t="s">
        <v>961</v>
      </c>
      <c r="L53" s="28" t="s">
        <v>911</v>
      </c>
      <c r="M53" s="28" t="s">
        <v>962</v>
      </c>
      <c r="N53" s="28"/>
      <c r="O53" s="28"/>
      <c r="P53" s="28"/>
    </row>
    <row r="54" customFormat="false" ht="15" hidden="false" customHeight="false" outlineLevel="0" collapsed="false">
      <c r="A54" s="28" t="s">
        <v>979</v>
      </c>
      <c r="B54" s="28" t="s">
        <v>919</v>
      </c>
      <c r="C54" s="28" t="s">
        <v>161</v>
      </c>
      <c r="D54" s="28" t="s">
        <v>958</v>
      </c>
      <c r="E54" s="28" t="s">
        <v>959</v>
      </c>
      <c r="F54" s="32" t="n">
        <v>5166.81</v>
      </c>
      <c r="G54" s="28" t="s">
        <v>108</v>
      </c>
      <c r="H54" s="28" t="s">
        <v>964</v>
      </c>
      <c r="I54" s="28" t="s">
        <v>881</v>
      </c>
      <c r="J54" s="28" t="s">
        <v>881</v>
      </c>
      <c r="K54" s="28" t="s">
        <v>965</v>
      </c>
      <c r="L54" s="28" t="s">
        <v>911</v>
      </c>
      <c r="M54" s="28" t="s">
        <v>962</v>
      </c>
      <c r="N54" s="28"/>
      <c r="O54" s="28"/>
      <c r="P54" s="28"/>
    </row>
    <row r="55" customFormat="false" ht="15" hidden="false" customHeight="false" outlineLevel="0" collapsed="false">
      <c r="A55" s="28" t="s">
        <v>980</v>
      </c>
      <c r="B55" s="28" t="s">
        <v>886</v>
      </c>
      <c r="C55" s="28" t="s">
        <v>887</v>
      </c>
      <c r="D55" s="28" t="s">
        <v>958</v>
      </c>
      <c r="E55" s="28" t="s">
        <v>959</v>
      </c>
      <c r="F55" s="32" t="n">
        <v>29940.7</v>
      </c>
      <c r="G55" s="28" t="s">
        <v>108</v>
      </c>
      <c r="H55" s="28" t="s">
        <v>981</v>
      </c>
      <c r="I55" s="28" t="s">
        <v>881</v>
      </c>
      <c r="J55" s="28" t="s">
        <v>982</v>
      </c>
      <c r="K55" s="28" t="s">
        <v>970</v>
      </c>
      <c r="L55" s="28" t="s">
        <v>911</v>
      </c>
      <c r="M55" s="28"/>
      <c r="N55" s="28"/>
      <c r="O55" s="28"/>
      <c r="P55" s="28"/>
    </row>
    <row r="56" customFormat="false" ht="15" hidden="false" customHeight="false" outlineLevel="0" collapsed="false">
      <c r="A56" s="28" t="s">
        <v>983</v>
      </c>
      <c r="B56" s="28" t="s">
        <v>931</v>
      </c>
      <c r="C56" s="28" t="s">
        <v>932</v>
      </c>
      <c r="D56" s="28" t="s">
        <v>958</v>
      </c>
      <c r="E56" s="28" t="s">
        <v>959</v>
      </c>
      <c r="F56" s="32" t="n">
        <v>13181.74</v>
      </c>
      <c r="G56" s="28" t="s">
        <v>108</v>
      </c>
      <c r="H56" s="28" t="s">
        <v>964</v>
      </c>
      <c r="I56" s="28" t="s">
        <v>881</v>
      </c>
      <c r="J56" s="28" t="s">
        <v>881</v>
      </c>
      <c r="K56" s="28" t="s">
        <v>965</v>
      </c>
      <c r="L56" s="28" t="s">
        <v>911</v>
      </c>
      <c r="M56" s="28" t="s">
        <v>962</v>
      </c>
      <c r="N56" s="28"/>
      <c r="O56" s="28"/>
      <c r="P56" s="28"/>
    </row>
    <row r="57" customFormat="false" ht="15" hidden="false" customHeight="false" outlineLevel="0" collapsed="false">
      <c r="A57" s="28" t="s">
        <v>984</v>
      </c>
      <c r="B57" s="28" t="s">
        <v>886</v>
      </c>
      <c r="C57" s="28" t="s">
        <v>887</v>
      </c>
      <c r="D57" s="28" t="s">
        <v>958</v>
      </c>
      <c r="E57" s="28" t="s">
        <v>959</v>
      </c>
      <c r="F57" s="32" t="n">
        <v>-10287.62</v>
      </c>
      <c r="G57" s="28" t="s">
        <v>108</v>
      </c>
      <c r="H57" s="28" t="s">
        <v>985</v>
      </c>
      <c r="I57" s="28" t="s">
        <v>889</v>
      </c>
      <c r="J57" s="28" t="s">
        <v>889</v>
      </c>
      <c r="K57" s="28" t="s">
        <v>986</v>
      </c>
      <c r="L57" s="28" t="s">
        <v>911</v>
      </c>
      <c r="M57" s="28"/>
      <c r="N57" s="28"/>
      <c r="O57" s="28"/>
      <c r="P57" s="28"/>
    </row>
    <row r="58" customFormat="false" ht="15" hidden="false" customHeight="false" outlineLevel="0" collapsed="false">
      <c r="A58" s="28" t="s">
        <v>987</v>
      </c>
      <c r="B58" s="28" t="s">
        <v>886</v>
      </c>
      <c r="C58" s="28" t="s">
        <v>887</v>
      </c>
      <c r="D58" s="28" t="s">
        <v>958</v>
      </c>
      <c r="E58" s="28" t="s">
        <v>959</v>
      </c>
      <c r="F58" s="32" t="n">
        <v>10287.62</v>
      </c>
      <c r="G58" s="28" t="s">
        <v>108</v>
      </c>
      <c r="H58" s="28" t="s">
        <v>988</v>
      </c>
      <c r="I58" s="28" t="s">
        <v>889</v>
      </c>
      <c r="J58" s="28" t="s">
        <v>889</v>
      </c>
      <c r="K58" s="28" t="s">
        <v>986</v>
      </c>
      <c r="L58" s="28" t="s">
        <v>911</v>
      </c>
      <c r="M58" s="28"/>
      <c r="N58" s="28"/>
      <c r="O58" s="28"/>
      <c r="P58" s="28"/>
    </row>
    <row r="59" customFormat="false" ht="15" hidden="false" customHeight="false" outlineLevel="0" collapsed="false">
      <c r="A59" s="28" t="s">
        <v>989</v>
      </c>
      <c r="B59" s="28" t="s">
        <v>877</v>
      </c>
      <c r="C59" s="28" t="s">
        <v>104</v>
      </c>
      <c r="D59" s="28" t="s">
        <v>958</v>
      </c>
      <c r="E59" s="28" t="s">
        <v>959</v>
      </c>
      <c r="F59" s="32" t="n">
        <v>32198</v>
      </c>
      <c r="G59" s="28" t="s">
        <v>108</v>
      </c>
      <c r="H59" s="28" t="s">
        <v>960</v>
      </c>
      <c r="I59" s="28" t="s">
        <v>889</v>
      </c>
      <c r="J59" s="28" t="s">
        <v>889</v>
      </c>
      <c r="K59" s="28" t="s">
        <v>961</v>
      </c>
      <c r="L59" s="28" t="s">
        <v>911</v>
      </c>
      <c r="M59" s="28" t="s">
        <v>962</v>
      </c>
      <c r="N59" s="28"/>
      <c r="O59" s="28"/>
      <c r="P59" s="28"/>
    </row>
    <row r="60" customFormat="false" ht="15" hidden="false" customHeight="false" outlineLevel="0" collapsed="false">
      <c r="A60" s="28" t="s">
        <v>990</v>
      </c>
      <c r="B60" s="28" t="s">
        <v>915</v>
      </c>
      <c r="C60" s="28" t="s">
        <v>916</v>
      </c>
      <c r="D60" s="28" t="s">
        <v>958</v>
      </c>
      <c r="E60" s="28" t="s">
        <v>959</v>
      </c>
      <c r="F60" s="32" t="n">
        <v>1189.43</v>
      </c>
      <c r="G60" s="28" t="s">
        <v>108</v>
      </c>
      <c r="H60" s="28" t="s">
        <v>960</v>
      </c>
      <c r="I60" s="28" t="s">
        <v>889</v>
      </c>
      <c r="J60" s="28" t="s">
        <v>889</v>
      </c>
      <c r="K60" s="28" t="s">
        <v>961</v>
      </c>
      <c r="L60" s="28" t="s">
        <v>911</v>
      </c>
      <c r="M60" s="28" t="s">
        <v>962</v>
      </c>
      <c r="N60" s="28"/>
      <c r="O60" s="28"/>
      <c r="P60" s="28"/>
    </row>
    <row r="61" customFormat="false" ht="15" hidden="false" customHeight="false" outlineLevel="0" collapsed="false">
      <c r="A61" s="28" t="s">
        <v>991</v>
      </c>
      <c r="B61" s="28" t="s">
        <v>886</v>
      </c>
      <c r="C61" s="28" t="s">
        <v>887</v>
      </c>
      <c r="D61" s="28" t="s">
        <v>958</v>
      </c>
      <c r="E61" s="28" t="s">
        <v>959</v>
      </c>
      <c r="F61" s="32" t="n">
        <v>29940.7</v>
      </c>
      <c r="G61" s="28" t="s">
        <v>108</v>
      </c>
      <c r="H61" s="28" t="s">
        <v>992</v>
      </c>
      <c r="I61" s="28" t="s">
        <v>881</v>
      </c>
      <c r="J61" s="28" t="s">
        <v>881</v>
      </c>
      <c r="K61" s="28" t="s">
        <v>986</v>
      </c>
      <c r="L61" s="28" t="s">
        <v>911</v>
      </c>
      <c r="M61" s="28"/>
      <c r="N61" s="28"/>
      <c r="O61" s="28"/>
      <c r="P61" s="28"/>
    </row>
    <row r="62" customFormat="false" ht="15" hidden="false" customHeight="false" outlineLevel="0" collapsed="false">
      <c r="A62" s="28" t="s">
        <v>993</v>
      </c>
      <c r="B62" s="28" t="s">
        <v>923</v>
      </c>
      <c r="C62" s="28" t="s">
        <v>924</v>
      </c>
      <c r="D62" s="28" t="s">
        <v>958</v>
      </c>
      <c r="E62" s="28" t="s">
        <v>959</v>
      </c>
      <c r="F62" s="32" t="n">
        <v>5945.64</v>
      </c>
      <c r="G62" s="28" t="s">
        <v>108</v>
      </c>
      <c r="H62" s="28" t="s">
        <v>960</v>
      </c>
      <c r="I62" s="28" t="s">
        <v>889</v>
      </c>
      <c r="J62" s="28" t="s">
        <v>889</v>
      </c>
      <c r="K62" s="28" t="s">
        <v>961</v>
      </c>
      <c r="L62" s="28" t="s">
        <v>911</v>
      </c>
      <c r="M62" s="28" t="s">
        <v>962</v>
      </c>
      <c r="N62" s="28"/>
      <c r="O62" s="28"/>
      <c r="P62" s="28"/>
    </row>
    <row r="63" customFormat="false" ht="15" hidden="false" customHeight="false" outlineLevel="0" collapsed="false">
      <c r="A63" s="28" t="s">
        <v>994</v>
      </c>
      <c r="B63" s="28" t="s">
        <v>931</v>
      </c>
      <c r="C63" s="28" t="s">
        <v>932</v>
      </c>
      <c r="D63" s="28" t="s">
        <v>958</v>
      </c>
      <c r="E63" s="28" t="s">
        <v>959</v>
      </c>
      <c r="F63" s="32" t="n">
        <v>13462.55</v>
      </c>
      <c r="G63" s="28" t="s">
        <v>108</v>
      </c>
      <c r="H63" s="28" t="s">
        <v>960</v>
      </c>
      <c r="I63" s="28" t="s">
        <v>889</v>
      </c>
      <c r="J63" s="28" t="s">
        <v>889</v>
      </c>
      <c r="K63" s="28" t="s">
        <v>961</v>
      </c>
      <c r="L63" s="28" t="s">
        <v>911</v>
      </c>
      <c r="M63" s="28" t="s">
        <v>962</v>
      </c>
      <c r="N63" s="28"/>
      <c r="O63" s="28"/>
      <c r="P63" s="28"/>
    </row>
    <row r="64" customFormat="false" ht="15" hidden="false" customHeight="false" outlineLevel="0" collapsed="false">
      <c r="A64" s="28" t="s">
        <v>995</v>
      </c>
      <c r="B64" s="28" t="s">
        <v>886</v>
      </c>
      <c r="C64" s="28" t="s">
        <v>887</v>
      </c>
      <c r="D64" s="28" t="s">
        <v>958</v>
      </c>
      <c r="E64" s="28" t="s">
        <v>959</v>
      </c>
      <c r="F64" s="32" t="n">
        <v>96285.6</v>
      </c>
      <c r="G64" s="28" t="s">
        <v>108</v>
      </c>
      <c r="H64" s="28" t="s">
        <v>996</v>
      </c>
      <c r="I64" s="28" t="s">
        <v>881</v>
      </c>
      <c r="J64" s="28" t="s">
        <v>881</v>
      </c>
      <c r="K64" s="28" t="s">
        <v>974</v>
      </c>
      <c r="L64" s="28" t="s">
        <v>975</v>
      </c>
      <c r="M64" s="28"/>
      <c r="N64" s="28"/>
      <c r="O64" s="28"/>
      <c r="P64" s="28"/>
    </row>
    <row r="65" customFormat="false" ht="15" hidden="false" customHeight="false" outlineLevel="0" collapsed="false">
      <c r="A65" s="28" t="s">
        <v>997</v>
      </c>
      <c r="B65" s="28" t="s">
        <v>886</v>
      </c>
      <c r="C65" s="28" t="s">
        <v>887</v>
      </c>
      <c r="D65" s="28" t="s">
        <v>958</v>
      </c>
      <c r="E65" s="28" t="s">
        <v>959</v>
      </c>
      <c r="F65" s="32" t="n">
        <v>-29940.7</v>
      </c>
      <c r="G65" s="28" t="s">
        <v>108</v>
      </c>
      <c r="H65" s="28" t="s">
        <v>998</v>
      </c>
      <c r="I65" s="28" t="s">
        <v>881</v>
      </c>
      <c r="J65" s="28" t="s">
        <v>881</v>
      </c>
      <c r="K65" s="28" t="s">
        <v>986</v>
      </c>
      <c r="L65" s="28" t="s">
        <v>911</v>
      </c>
      <c r="M65" s="28"/>
      <c r="N65" s="28"/>
      <c r="O65" s="28"/>
      <c r="P65" s="28"/>
    </row>
    <row r="66" customFormat="false" ht="15" hidden="false" customHeight="false" outlineLevel="0" collapsed="false">
      <c r="A66" s="28" t="s">
        <v>999</v>
      </c>
      <c r="B66" s="28" t="s">
        <v>923</v>
      </c>
      <c r="C66" s="28" t="s">
        <v>924</v>
      </c>
      <c r="D66" s="28" t="s">
        <v>958</v>
      </c>
      <c r="E66" s="28" t="s">
        <v>959</v>
      </c>
      <c r="F66" s="32" t="n">
        <v>5166.81</v>
      </c>
      <c r="G66" s="28" t="s">
        <v>108</v>
      </c>
      <c r="H66" s="28" t="s">
        <v>964</v>
      </c>
      <c r="I66" s="28" t="s">
        <v>881</v>
      </c>
      <c r="J66" s="28" t="s">
        <v>881</v>
      </c>
      <c r="K66" s="28" t="s">
        <v>965</v>
      </c>
      <c r="L66" s="28" t="s">
        <v>911</v>
      </c>
      <c r="M66" s="28" t="s">
        <v>962</v>
      </c>
      <c r="N66" s="28"/>
      <c r="O66" s="28"/>
      <c r="P66" s="28"/>
    </row>
    <row r="67" customFormat="false" ht="15" hidden="false" customHeight="false" outlineLevel="0" collapsed="false">
      <c r="A67" s="28" t="s">
        <v>1000</v>
      </c>
      <c r="B67" s="28" t="s">
        <v>923</v>
      </c>
      <c r="C67" s="28" t="s">
        <v>924</v>
      </c>
      <c r="D67" s="28" t="s">
        <v>1001</v>
      </c>
      <c r="E67" s="28" t="s">
        <v>1002</v>
      </c>
      <c r="F67" s="32" t="n">
        <v>-236.86</v>
      </c>
      <c r="G67" s="28" t="s">
        <v>108</v>
      </c>
      <c r="H67" s="28" t="s">
        <v>1003</v>
      </c>
      <c r="I67" s="28" t="s">
        <v>1004</v>
      </c>
      <c r="J67" s="28" t="s">
        <v>1004</v>
      </c>
      <c r="K67" s="28" t="s">
        <v>1005</v>
      </c>
      <c r="L67" s="28" t="s">
        <v>1006</v>
      </c>
      <c r="M67" s="28"/>
      <c r="N67" s="28"/>
      <c r="O67" s="28"/>
      <c r="P67" s="28"/>
    </row>
    <row r="68" customFormat="false" ht="15" hidden="false" customHeight="false" outlineLevel="0" collapsed="false">
      <c r="A68" s="28" t="s">
        <v>1007</v>
      </c>
      <c r="B68" s="28" t="s">
        <v>923</v>
      </c>
      <c r="C68" s="28" t="s">
        <v>924</v>
      </c>
      <c r="D68" s="28" t="s">
        <v>1001</v>
      </c>
      <c r="E68" s="28" t="s">
        <v>1002</v>
      </c>
      <c r="F68" s="32" t="n">
        <v>333.28</v>
      </c>
      <c r="G68" s="28" t="s">
        <v>108</v>
      </c>
      <c r="H68" s="28" t="s">
        <v>1008</v>
      </c>
      <c r="I68" s="28" t="s">
        <v>1009</v>
      </c>
      <c r="J68" s="28" t="s">
        <v>1009</v>
      </c>
      <c r="K68" s="28" t="s">
        <v>1005</v>
      </c>
      <c r="L68" s="28" t="s">
        <v>1006</v>
      </c>
      <c r="M68" s="28"/>
      <c r="N68" s="28"/>
      <c r="O68" s="28"/>
      <c r="P68" s="28"/>
    </row>
    <row r="69" customFormat="false" ht="15" hidden="false" customHeight="false" outlineLevel="0" collapsed="false">
      <c r="A69" s="28" t="s">
        <v>1010</v>
      </c>
      <c r="B69" s="28" t="s">
        <v>923</v>
      </c>
      <c r="C69" s="28" t="s">
        <v>924</v>
      </c>
      <c r="D69" s="28" t="s">
        <v>1001</v>
      </c>
      <c r="E69" s="28" t="s">
        <v>1002</v>
      </c>
      <c r="F69" s="32" t="n">
        <v>236.86</v>
      </c>
      <c r="G69" s="28" t="s">
        <v>108</v>
      </c>
      <c r="H69" s="28" t="s">
        <v>1011</v>
      </c>
      <c r="I69" s="28" t="s">
        <v>1004</v>
      </c>
      <c r="J69" s="28" t="s">
        <v>1004</v>
      </c>
      <c r="K69" s="28" t="s">
        <v>1005</v>
      </c>
      <c r="L69" s="28" t="s">
        <v>1006</v>
      </c>
      <c r="M69" s="28"/>
      <c r="N69" s="28"/>
      <c r="O69" s="28"/>
      <c r="P69" s="28"/>
    </row>
    <row r="70" customFormat="false" ht="15" hidden="false" customHeight="false" outlineLevel="0" collapsed="false">
      <c r="A70" s="28" t="s">
        <v>1012</v>
      </c>
      <c r="B70" s="28" t="s">
        <v>923</v>
      </c>
      <c r="C70" s="28" t="s">
        <v>924</v>
      </c>
      <c r="D70" s="28" t="s">
        <v>1001</v>
      </c>
      <c r="E70" s="28" t="s">
        <v>1002</v>
      </c>
      <c r="F70" s="32" t="n">
        <v>412.97</v>
      </c>
      <c r="G70" s="28" t="s">
        <v>108</v>
      </c>
      <c r="H70" s="28" t="s">
        <v>1013</v>
      </c>
      <c r="I70" s="28" t="s">
        <v>982</v>
      </c>
      <c r="J70" s="28" t="s">
        <v>982</v>
      </c>
      <c r="K70" s="28" t="s">
        <v>1005</v>
      </c>
      <c r="L70" s="28" t="s">
        <v>1014</v>
      </c>
      <c r="M70" s="28"/>
      <c r="N70" s="28"/>
      <c r="O70" s="28"/>
      <c r="P70" s="28"/>
    </row>
    <row r="71" customFormat="false" ht="15" hidden="false" customHeight="false" outlineLevel="0" collapsed="false">
      <c r="A71" s="28" t="s">
        <v>1015</v>
      </c>
      <c r="B71" s="28" t="s">
        <v>923</v>
      </c>
      <c r="C71" s="28" t="s">
        <v>924</v>
      </c>
      <c r="D71" s="28" t="s">
        <v>1001</v>
      </c>
      <c r="E71" s="28" t="s">
        <v>1002</v>
      </c>
      <c r="F71" s="32" t="n">
        <v>71.62</v>
      </c>
      <c r="G71" s="28" t="s">
        <v>108</v>
      </c>
      <c r="H71" s="28" t="s">
        <v>1016</v>
      </c>
      <c r="I71" s="28" t="s">
        <v>1017</v>
      </c>
      <c r="J71" s="28" t="s">
        <v>1017</v>
      </c>
      <c r="K71" s="28" t="s">
        <v>1005</v>
      </c>
      <c r="L71" s="28" t="s">
        <v>1006</v>
      </c>
      <c r="M71" s="28"/>
      <c r="N71" s="28"/>
      <c r="O71" s="28"/>
      <c r="P71" s="28"/>
    </row>
    <row r="72" customFormat="false" ht="15" hidden="false" customHeight="false" outlineLevel="0" collapsed="false">
      <c r="A72" s="28" t="s">
        <v>1018</v>
      </c>
      <c r="B72" s="28" t="s">
        <v>886</v>
      </c>
      <c r="C72" s="28" t="s">
        <v>887</v>
      </c>
      <c r="D72" s="28" t="s">
        <v>1001</v>
      </c>
      <c r="E72" s="28" t="s">
        <v>1002</v>
      </c>
      <c r="F72" s="32" t="n">
        <v>981.13</v>
      </c>
      <c r="G72" s="28" t="s">
        <v>108</v>
      </c>
      <c r="H72" s="28" t="s">
        <v>1019</v>
      </c>
      <c r="I72" s="28" t="s">
        <v>1020</v>
      </c>
      <c r="J72" s="28" t="s">
        <v>1020</v>
      </c>
      <c r="K72" s="28" t="s">
        <v>1005</v>
      </c>
      <c r="L72" s="28" t="s">
        <v>1006</v>
      </c>
      <c r="M72" s="28"/>
      <c r="N72" s="28"/>
      <c r="O72" s="28"/>
      <c r="P72" s="28"/>
    </row>
    <row r="73" customFormat="false" ht="15" hidden="false" customHeight="false" outlineLevel="0" collapsed="false">
      <c r="A73" s="28" t="s">
        <v>1021</v>
      </c>
      <c r="B73" s="28" t="s">
        <v>923</v>
      </c>
      <c r="C73" s="28" t="s">
        <v>924</v>
      </c>
      <c r="D73" s="28" t="s">
        <v>1001</v>
      </c>
      <c r="E73" s="28" t="s">
        <v>1002</v>
      </c>
      <c r="F73" s="32" t="n">
        <v>486.02</v>
      </c>
      <c r="G73" s="28" t="s">
        <v>108</v>
      </c>
      <c r="H73" s="28" t="s">
        <v>1022</v>
      </c>
      <c r="I73" s="28" t="s">
        <v>1023</v>
      </c>
      <c r="J73" s="28" t="s">
        <v>1023</v>
      </c>
      <c r="K73" s="28" t="s">
        <v>1005</v>
      </c>
      <c r="L73" s="28" t="s">
        <v>1006</v>
      </c>
      <c r="M73" s="28"/>
      <c r="N73" s="28"/>
      <c r="O73" s="28"/>
      <c r="P73" s="28"/>
    </row>
    <row r="74" customFormat="false" ht="15" hidden="false" customHeight="false" outlineLevel="0" collapsed="false">
      <c r="A74" s="28" t="s">
        <v>1024</v>
      </c>
      <c r="B74" s="28" t="s">
        <v>886</v>
      </c>
      <c r="C74" s="28" t="s">
        <v>887</v>
      </c>
      <c r="D74" s="28" t="s">
        <v>1001</v>
      </c>
      <c r="E74" s="28" t="s">
        <v>1002</v>
      </c>
      <c r="F74" s="32" t="n">
        <v>326.01</v>
      </c>
      <c r="G74" s="28" t="s">
        <v>108</v>
      </c>
      <c r="H74" s="28" t="s">
        <v>1025</v>
      </c>
      <c r="I74" s="28" t="s">
        <v>1026</v>
      </c>
      <c r="J74" s="28" t="s">
        <v>1026</v>
      </c>
      <c r="K74" s="28" t="s">
        <v>1005</v>
      </c>
      <c r="L74" s="28" t="s">
        <v>1006</v>
      </c>
      <c r="M74" s="28"/>
      <c r="N74" s="28"/>
      <c r="O74" s="28"/>
      <c r="P74" s="28"/>
    </row>
    <row r="75" customFormat="false" ht="15" hidden="false" customHeight="false" outlineLevel="0" collapsed="false">
      <c r="A75" s="28" t="s">
        <v>1027</v>
      </c>
      <c r="B75" s="28" t="s">
        <v>919</v>
      </c>
      <c r="C75" s="28" t="s">
        <v>161</v>
      </c>
      <c r="D75" s="28" t="s">
        <v>1028</v>
      </c>
      <c r="E75" s="28" t="s">
        <v>1029</v>
      </c>
      <c r="F75" s="32" t="n">
        <v>229670.54</v>
      </c>
      <c r="G75" s="28" t="s">
        <v>108</v>
      </c>
      <c r="H75" s="28" t="s">
        <v>1030</v>
      </c>
      <c r="I75" s="28" t="s">
        <v>1031</v>
      </c>
      <c r="J75" s="28" t="s">
        <v>1031</v>
      </c>
      <c r="K75" s="28" t="s">
        <v>1032</v>
      </c>
      <c r="L75" s="28" t="s">
        <v>883</v>
      </c>
      <c r="M75" s="28"/>
      <c r="N75" s="28"/>
      <c r="O75" s="28"/>
      <c r="P75" s="28"/>
    </row>
    <row r="76" customFormat="false" ht="15" hidden="false" customHeight="false" outlineLevel="0" collapsed="false">
      <c r="A76" s="28" t="s">
        <v>1033</v>
      </c>
      <c r="B76" s="28" t="s">
        <v>931</v>
      </c>
      <c r="C76" s="28" t="s">
        <v>932</v>
      </c>
      <c r="D76" s="28" t="s">
        <v>1028</v>
      </c>
      <c r="E76" s="28" t="s">
        <v>1029</v>
      </c>
      <c r="F76" s="32" t="n">
        <v>51440.78</v>
      </c>
      <c r="G76" s="28" t="s">
        <v>108</v>
      </c>
      <c r="H76" s="28" t="s">
        <v>1034</v>
      </c>
      <c r="I76" s="28" t="s">
        <v>889</v>
      </c>
      <c r="J76" s="28" t="s">
        <v>889</v>
      </c>
      <c r="K76" s="28" t="s">
        <v>1032</v>
      </c>
      <c r="L76" s="28" t="s">
        <v>883</v>
      </c>
      <c r="M76" s="28"/>
      <c r="N76" s="28"/>
      <c r="O76" s="28"/>
      <c r="P76" s="28"/>
    </row>
    <row r="77" customFormat="false" ht="15" hidden="false" customHeight="false" outlineLevel="0" collapsed="false">
      <c r="A77" s="28" t="s">
        <v>1035</v>
      </c>
      <c r="B77" s="28" t="s">
        <v>923</v>
      </c>
      <c r="C77" s="28" t="s">
        <v>924</v>
      </c>
      <c r="D77" s="28" t="s">
        <v>1028</v>
      </c>
      <c r="E77" s="28" t="s">
        <v>1029</v>
      </c>
      <c r="F77" s="32" t="n">
        <v>72.86</v>
      </c>
      <c r="G77" s="28" t="s">
        <v>108</v>
      </c>
      <c r="H77" s="28" t="s">
        <v>1036</v>
      </c>
      <c r="I77" s="28" t="s">
        <v>1026</v>
      </c>
      <c r="J77" s="28" t="s">
        <v>1026</v>
      </c>
      <c r="K77" s="28" t="s">
        <v>1037</v>
      </c>
      <c r="L77" s="28" t="s">
        <v>1006</v>
      </c>
      <c r="M77" s="28"/>
      <c r="N77" s="28"/>
      <c r="O77" s="28"/>
      <c r="P77" s="28"/>
    </row>
    <row r="78" customFormat="false" ht="15" hidden="false" customHeight="false" outlineLevel="0" collapsed="false">
      <c r="A78" s="28" t="s">
        <v>1038</v>
      </c>
      <c r="B78" s="28" t="s">
        <v>886</v>
      </c>
      <c r="C78" s="28" t="s">
        <v>887</v>
      </c>
      <c r="D78" s="28" t="s">
        <v>1028</v>
      </c>
      <c r="E78" s="28" t="s">
        <v>1029</v>
      </c>
      <c r="F78" s="32" t="n">
        <v>56.18</v>
      </c>
      <c r="G78" s="28" t="s">
        <v>108</v>
      </c>
      <c r="H78" s="28" t="s">
        <v>1019</v>
      </c>
      <c r="I78" s="28" t="s">
        <v>1020</v>
      </c>
      <c r="J78" s="28" t="s">
        <v>1020</v>
      </c>
      <c r="K78" s="28" t="s">
        <v>1039</v>
      </c>
      <c r="L78" s="28" t="s">
        <v>1006</v>
      </c>
      <c r="M78" s="28"/>
      <c r="N78" s="28"/>
      <c r="O78" s="28"/>
      <c r="P78" s="28"/>
    </row>
    <row r="79" customFormat="false" ht="15" hidden="false" customHeight="false" outlineLevel="0" collapsed="false">
      <c r="A79" s="28" t="s">
        <v>1040</v>
      </c>
      <c r="B79" s="28" t="s">
        <v>919</v>
      </c>
      <c r="C79" s="28" t="s">
        <v>161</v>
      </c>
      <c r="D79" s="28" t="s">
        <v>1028</v>
      </c>
      <c r="E79" s="28" t="s">
        <v>1029</v>
      </c>
      <c r="F79" s="32" t="n">
        <v>468018.18</v>
      </c>
      <c r="G79" s="28" t="s">
        <v>108</v>
      </c>
      <c r="H79" s="28" t="s">
        <v>1041</v>
      </c>
      <c r="I79" s="28" t="s">
        <v>1042</v>
      </c>
      <c r="J79" s="28" t="s">
        <v>1042</v>
      </c>
      <c r="K79" s="28" t="s">
        <v>1032</v>
      </c>
      <c r="L79" s="28" t="s">
        <v>883</v>
      </c>
      <c r="M79" s="28"/>
      <c r="N79" s="28"/>
      <c r="O79" s="28"/>
      <c r="P79" s="28"/>
    </row>
    <row r="80" customFormat="false" ht="15" hidden="false" customHeight="false" outlineLevel="0" collapsed="false">
      <c r="A80" s="28" t="s">
        <v>1043</v>
      </c>
      <c r="B80" s="28" t="s">
        <v>923</v>
      </c>
      <c r="C80" s="28" t="s">
        <v>924</v>
      </c>
      <c r="D80" s="28" t="s">
        <v>1028</v>
      </c>
      <c r="E80" s="28" t="s">
        <v>1029</v>
      </c>
      <c r="F80" s="32" t="n">
        <v>-561117.18</v>
      </c>
      <c r="G80" s="28" t="s">
        <v>108</v>
      </c>
      <c r="H80" s="28" t="s">
        <v>1044</v>
      </c>
      <c r="I80" s="28" t="s">
        <v>1045</v>
      </c>
      <c r="J80" s="28" t="s">
        <v>1045</v>
      </c>
      <c r="K80" s="28" t="s">
        <v>1046</v>
      </c>
      <c r="L80" s="28" t="s">
        <v>911</v>
      </c>
      <c r="M80" s="28"/>
      <c r="N80" s="28"/>
      <c r="O80" s="28"/>
      <c r="P80" s="28"/>
    </row>
    <row r="81" customFormat="false" ht="15" hidden="false" customHeight="false" outlineLevel="0" collapsed="false">
      <c r="A81" s="28" t="s">
        <v>1047</v>
      </c>
      <c r="B81" s="28" t="s">
        <v>919</v>
      </c>
      <c r="C81" s="28" t="s">
        <v>161</v>
      </c>
      <c r="D81" s="28" t="s">
        <v>1028</v>
      </c>
      <c r="E81" s="28" t="s">
        <v>1029</v>
      </c>
      <c r="F81" s="32" t="n">
        <v>36.39</v>
      </c>
      <c r="G81" s="28" t="s">
        <v>108</v>
      </c>
      <c r="H81" s="28" t="s">
        <v>1048</v>
      </c>
      <c r="I81" s="28" t="s">
        <v>1049</v>
      </c>
      <c r="J81" s="28" t="s">
        <v>1049</v>
      </c>
      <c r="K81" s="28" t="s">
        <v>1037</v>
      </c>
      <c r="L81" s="28" t="s">
        <v>1006</v>
      </c>
      <c r="M81" s="28"/>
      <c r="N81" s="28"/>
      <c r="O81" s="28"/>
      <c r="P81" s="28"/>
    </row>
    <row r="82" customFormat="false" ht="15" hidden="false" customHeight="false" outlineLevel="0" collapsed="false">
      <c r="A82" s="28" t="s">
        <v>1050</v>
      </c>
      <c r="B82" s="28" t="s">
        <v>919</v>
      </c>
      <c r="C82" s="28" t="s">
        <v>161</v>
      </c>
      <c r="D82" s="28" t="s">
        <v>1028</v>
      </c>
      <c r="E82" s="28" t="s">
        <v>1029</v>
      </c>
      <c r="F82" s="32" t="n">
        <v>65379</v>
      </c>
      <c r="G82" s="28" t="s">
        <v>108</v>
      </c>
      <c r="H82" s="28" t="s">
        <v>1051</v>
      </c>
      <c r="I82" s="28" t="s">
        <v>1052</v>
      </c>
      <c r="J82" s="28" t="s">
        <v>1052</v>
      </c>
      <c r="K82" s="28" t="s">
        <v>1053</v>
      </c>
      <c r="L82" s="28" t="s">
        <v>899</v>
      </c>
      <c r="M82" s="28" t="s">
        <v>1054</v>
      </c>
      <c r="N82" s="28"/>
      <c r="O82" s="28"/>
      <c r="P82" s="28"/>
    </row>
    <row r="83" customFormat="false" ht="15" hidden="false" customHeight="false" outlineLevel="0" collapsed="false">
      <c r="A83" s="28" t="s">
        <v>1055</v>
      </c>
      <c r="B83" s="28" t="s">
        <v>923</v>
      </c>
      <c r="C83" s="28" t="s">
        <v>924</v>
      </c>
      <c r="D83" s="28" t="s">
        <v>1028</v>
      </c>
      <c r="E83" s="28" t="s">
        <v>1029</v>
      </c>
      <c r="F83" s="32" t="n">
        <v>46759.77</v>
      </c>
      <c r="G83" s="28" t="s">
        <v>108</v>
      </c>
      <c r="H83" s="28" t="s">
        <v>1056</v>
      </c>
      <c r="I83" s="28" t="s">
        <v>881</v>
      </c>
      <c r="J83" s="28" t="s">
        <v>881</v>
      </c>
      <c r="K83" s="28" t="s">
        <v>1057</v>
      </c>
      <c r="L83" s="28" t="s">
        <v>1058</v>
      </c>
      <c r="M83" s="28"/>
      <c r="N83" s="28"/>
      <c r="O83" s="28"/>
      <c r="P83" s="28"/>
    </row>
    <row r="84" customFormat="false" ht="15" hidden="false" customHeight="false" outlineLevel="0" collapsed="false">
      <c r="A84" s="28" t="s">
        <v>1059</v>
      </c>
      <c r="B84" s="28" t="s">
        <v>923</v>
      </c>
      <c r="C84" s="28" t="s">
        <v>924</v>
      </c>
      <c r="D84" s="28" t="s">
        <v>1028</v>
      </c>
      <c r="E84" s="28" t="s">
        <v>1029</v>
      </c>
      <c r="F84" s="32" t="n">
        <v>28849.69</v>
      </c>
      <c r="G84" s="28" t="s">
        <v>108</v>
      </c>
      <c r="H84" s="28" t="s">
        <v>1060</v>
      </c>
      <c r="I84" s="28" t="s">
        <v>1061</v>
      </c>
      <c r="J84" s="28" t="s">
        <v>1061</v>
      </c>
      <c r="K84" s="28" t="s">
        <v>1062</v>
      </c>
      <c r="L84" s="28" t="s">
        <v>899</v>
      </c>
      <c r="M84" s="28" t="s">
        <v>1063</v>
      </c>
      <c r="N84" s="28"/>
      <c r="O84" s="28"/>
      <c r="P84" s="28"/>
    </row>
    <row r="85" customFormat="false" ht="15" hidden="false" customHeight="false" outlineLevel="0" collapsed="false">
      <c r="A85" s="28" t="s">
        <v>1064</v>
      </c>
      <c r="B85" s="28" t="s">
        <v>877</v>
      </c>
      <c r="C85" s="28" t="s">
        <v>104</v>
      </c>
      <c r="D85" s="28" t="s">
        <v>1028</v>
      </c>
      <c r="E85" s="28" t="s">
        <v>1029</v>
      </c>
      <c r="F85" s="32" t="n">
        <v>816.67</v>
      </c>
      <c r="G85" s="28" t="s">
        <v>108</v>
      </c>
      <c r="H85" s="28" t="s">
        <v>1065</v>
      </c>
      <c r="I85" s="28" t="s">
        <v>1066</v>
      </c>
      <c r="J85" s="28" t="s">
        <v>1066</v>
      </c>
      <c r="K85" s="28" t="s">
        <v>1067</v>
      </c>
      <c r="L85" s="28" t="s">
        <v>1068</v>
      </c>
      <c r="M85" s="28" t="s">
        <v>1069</v>
      </c>
      <c r="N85" s="28"/>
      <c r="O85" s="28"/>
      <c r="P85" s="28"/>
    </row>
    <row r="86" customFormat="false" ht="15" hidden="false" customHeight="false" outlineLevel="0" collapsed="false">
      <c r="A86" s="28" t="s">
        <v>1070</v>
      </c>
      <c r="B86" s="28" t="s">
        <v>923</v>
      </c>
      <c r="C86" s="28" t="s">
        <v>924</v>
      </c>
      <c r="D86" s="28" t="s">
        <v>1028</v>
      </c>
      <c r="E86" s="28" t="s">
        <v>1029</v>
      </c>
      <c r="F86" s="32" t="n">
        <v>55.51</v>
      </c>
      <c r="G86" s="28" t="s">
        <v>108</v>
      </c>
      <c r="H86" s="28" t="s">
        <v>1016</v>
      </c>
      <c r="I86" s="28" t="s">
        <v>1017</v>
      </c>
      <c r="J86" s="28" t="s">
        <v>1017</v>
      </c>
      <c r="K86" s="28" t="s">
        <v>1071</v>
      </c>
      <c r="L86" s="28" t="s">
        <v>1006</v>
      </c>
      <c r="M86" s="28"/>
      <c r="N86" s="28"/>
      <c r="O86" s="28"/>
      <c r="P86" s="28"/>
    </row>
    <row r="87" customFormat="false" ht="15" hidden="false" customHeight="false" outlineLevel="0" collapsed="false">
      <c r="A87" s="28" t="s">
        <v>1072</v>
      </c>
      <c r="B87" s="28" t="s">
        <v>886</v>
      </c>
      <c r="C87" s="28" t="s">
        <v>887</v>
      </c>
      <c r="D87" s="28" t="s">
        <v>1028</v>
      </c>
      <c r="E87" s="28" t="s">
        <v>1029</v>
      </c>
      <c r="F87" s="32" t="n">
        <v>98544.74</v>
      </c>
      <c r="G87" s="28" t="s">
        <v>108</v>
      </c>
      <c r="H87" s="28" t="s">
        <v>1073</v>
      </c>
      <c r="I87" s="28" t="s">
        <v>1074</v>
      </c>
      <c r="J87" s="28" t="s">
        <v>1074</v>
      </c>
      <c r="K87" s="28" t="s">
        <v>1032</v>
      </c>
      <c r="L87" s="28" t="s">
        <v>883</v>
      </c>
      <c r="M87" s="28"/>
      <c r="N87" s="28"/>
      <c r="O87" s="28"/>
      <c r="P87" s="28"/>
    </row>
    <row r="88" customFormat="false" ht="15" hidden="false" customHeight="false" outlineLevel="0" collapsed="false">
      <c r="A88" s="28" t="s">
        <v>1075</v>
      </c>
      <c r="B88" s="28" t="s">
        <v>923</v>
      </c>
      <c r="C88" s="28" t="s">
        <v>924</v>
      </c>
      <c r="D88" s="28" t="s">
        <v>1028</v>
      </c>
      <c r="E88" s="28" t="s">
        <v>1029</v>
      </c>
      <c r="F88" s="32" t="n">
        <v>-561117.18</v>
      </c>
      <c r="G88" s="28" t="s">
        <v>108</v>
      </c>
      <c r="H88" s="28" t="s">
        <v>1076</v>
      </c>
      <c r="I88" s="28" t="s">
        <v>1045</v>
      </c>
      <c r="J88" s="28" t="s">
        <v>1045</v>
      </c>
      <c r="K88" s="28" t="s">
        <v>1046</v>
      </c>
      <c r="L88" s="28" t="s">
        <v>911</v>
      </c>
      <c r="M88" s="28"/>
      <c r="N88" s="28"/>
      <c r="O88" s="28"/>
      <c r="P88" s="28"/>
    </row>
    <row r="89" customFormat="false" ht="15" hidden="false" customHeight="false" outlineLevel="0" collapsed="false">
      <c r="A89" s="28" t="s">
        <v>1077</v>
      </c>
      <c r="B89" s="28" t="s">
        <v>923</v>
      </c>
      <c r="C89" s="28" t="s">
        <v>924</v>
      </c>
      <c r="D89" s="28" t="s">
        <v>1028</v>
      </c>
      <c r="E89" s="28" t="s">
        <v>1029</v>
      </c>
      <c r="F89" s="32" t="n">
        <v>561117.18</v>
      </c>
      <c r="G89" s="28" t="s">
        <v>108</v>
      </c>
      <c r="H89" s="28" t="s">
        <v>1078</v>
      </c>
      <c r="I89" s="28" t="s">
        <v>881</v>
      </c>
      <c r="J89" s="28" t="s">
        <v>881</v>
      </c>
      <c r="K89" s="28" t="s">
        <v>1057</v>
      </c>
      <c r="L89" s="28" t="s">
        <v>1058</v>
      </c>
      <c r="M89" s="28"/>
      <c r="N89" s="28"/>
      <c r="O89" s="28"/>
      <c r="P89" s="28"/>
    </row>
    <row r="90" customFormat="false" ht="15" hidden="false" customHeight="false" outlineLevel="0" collapsed="false">
      <c r="A90" s="28" t="s">
        <v>1079</v>
      </c>
      <c r="B90" s="28" t="s">
        <v>919</v>
      </c>
      <c r="C90" s="28" t="s">
        <v>161</v>
      </c>
      <c r="D90" s="28" t="s">
        <v>1028</v>
      </c>
      <c r="E90" s="28" t="s">
        <v>1029</v>
      </c>
      <c r="F90" s="32" t="n">
        <v>204514.57</v>
      </c>
      <c r="G90" s="28" t="s">
        <v>108</v>
      </c>
      <c r="H90" s="28" t="s">
        <v>1080</v>
      </c>
      <c r="I90" s="28" t="s">
        <v>881</v>
      </c>
      <c r="J90" s="28" t="s">
        <v>881</v>
      </c>
      <c r="K90" s="28" t="s">
        <v>1032</v>
      </c>
      <c r="L90" s="28" t="s">
        <v>883</v>
      </c>
      <c r="M90" s="28"/>
      <c r="N90" s="28"/>
      <c r="O90" s="28"/>
      <c r="P90" s="28"/>
    </row>
    <row r="91" customFormat="false" ht="15" hidden="false" customHeight="false" outlineLevel="0" collapsed="false">
      <c r="A91" s="28" t="s">
        <v>1081</v>
      </c>
      <c r="B91" s="28" t="s">
        <v>877</v>
      </c>
      <c r="C91" s="28" t="s">
        <v>104</v>
      </c>
      <c r="D91" s="28" t="s">
        <v>1028</v>
      </c>
      <c r="E91" s="28" t="s">
        <v>1029</v>
      </c>
      <c r="F91" s="32" t="n">
        <v>3341.8</v>
      </c>
      <c r="G91" s="28" t="s">
        <v>108</v>
      </c>
      <c r="H91" s="28" t="s">
        <v>1082</v>
      </c>
      <c r="I91" s="28" t="s">
        <v>881</v>
      </c>
      <c r="J91" s="28" t="s">
        <v>881</v>
      </c>
      <c r="K91" s="28" t="s">
        <v>1083</v>
      </c>
      <c r="L91" s="28" t="s">
        <v>899</v>
      </c>
      <c r="M91" s="28" t="s">
        <v>1084</v>
      </c>
      <c r="N91" s="28"/>
      <c r="O91" s="28"/>
      <c r="P91" s="28"/>
    </row>
    <row r="92" customFormat="false" ht="15" hidden="false" customHeight="false" outlineLevel="0" collapsed="false">
      <c r="A92" s="28" t="s">
        <v>1085</v>
      </c>
      <c r="B92" s="28" t="s">
        <v>919</v>
      </c>
      <c r="C92" s="28" t="s">
        <v>161</v>
      </c>
      <c r="D92" s="28" t="s">
        <v>1028</v>
      </c>
      <c r="E92" s="28" t="s">
        <v>1029</v>
      </c>
      <c r="F92" s="32" t="n">
        <v>1101.03</v>
      </c>
      <c r="G92" s="28" t="s">
        <v>108</v>
      </c>
      <c r="H92" s="28" t="s">
        <v>1086</v>
      </c>
      <c r="I92" s="28" t="s">
        <v>1087</v>
      </c>
      <c r="J92" s="28" t="s">
        <v>1087</v>
      </c>
      <c r="K92" s="28" t="s">
        <v>1039</v>
      </c>
      <c r="L92" s="28" t="s">
        <v>1006</v>
      </c>
      <c r="M92" s="28"/>
      <c r="N92" s="28"/>
      <c r="O92" s="28"/>
      <c r="P92" s="28"/>
    </row>
    <row r="93" customFormat="false" ht="15" hidden="false" customHeight="false" outlineLevel="0" collapsed="false">
      <c r="A93" s="28" t="s">
        <v>1088</v>
      </c>
      <c r="B93" s="28" t="s">
        <v>923</v>
      </c>
      <c r="C93" s="28" t="s">
        <v>924</v>
      </c>
      <c r="D93" s="28" t="s">
        <v>1028</v>
      </c>
      <c r="E93" s="28" t="s">
        <v>1029</v>
      </c>
      <c r="F93" s="32" t="n">
        <v>561117.18</v>
      </c>
      <c r="G93" s="28" t="s">
        <v>108</v>
      </c>
      <c r="H93" s="28" t="s">
        <v>1089</v>
      </c>
      <c r="I93" s="28" t="s">
        <v>1045</v>
      </c>
      <c r="J93" s="28" t="s">
        <v>1045</v>
      </c>
      <c r="K93" s="28" t="s">
        <v>1032</v>
      </c>
      <c r="L93" s="28" t="s">
        <v>883</v>
      </c>
      <c r="M93" s="28"/>
      <c r="N93" s="28"/>
      <c r="O93" s="28"/>
      <c r="P93" s="28"/>
    </row>
    <row r="94" customFormat="false" ht="15" hidden="false" customHeight="false" outlineLevel="0" collapsed="false">
      <c r="A94" s="28" t="s">
        <v>1090</v>
      </c>
      <c r="B94" s="28" t="s">
        <v>877</v>
      </c>
      <c r="C94" s="28" t="s">
        <v>104</v>
      </c>
      <c r="D94" s="28" t="s">
        <v>1028</v>
      </c>
      <c r="E94" s="28" t="s">
        <v>1029</v>
      </c>
      <c r="F94" s="32" t="n">
        <v>1000</v>
      </c>
      <c r="G94" s="28" t="s">
        <v>108</v>
      </c>
      <c r="H94" s="28" t="s">
        <v>1065</v>
      </c>
      <c r="I94" s="28" t="s">
        <v>1066</v>
      </c>
      <c r="J94" s="28" t="s">
        <v>1066</v>
      </c>
      <c r="K94" s="28" t="s">
        <v>1091</v>
      </c>
      <c r="L94" s="28" t="s">
        <v>1068</v>
      </c>
      <c r="M94" s="28" t="s">
        <v>1069</v>
      </c>
      <c r="N94" s="28"/>
      <c r="O94" s="28"/>
      <c r="P94" s="28"/>
    </row>
    <row r="95" customFormat="false" ht="15" hidden="false" customHeight="false" outlineLevel="0" collapsed="false">
      <c r="A95" s="28" t="s">
        <v>1092</v>
      </c>
      <c r="B95" s="28" t="s">
        <v>886</v>
      </c>
      <c r="C95" s="28" t="s">
        <v>887</v>
      </c>
      <c r="D95" s="28" t="s">
        <v>1028</v>
      </c>
      <c r="E95" s="28" t="s">
        <v>1029</v>
      </c>
      <c r="F95" s="32" t="n">
        <v>82305.02</v>
      </c>
      <c r="G95" s="28" t="s">
        <v>108</v>
      </c>
      <c r="H95" s="28" t="s">
        <v>1034</v>
      </c>
      <c r="I95" s="28" t="s">
        <v>889</v>
      </c>
      <c r="J95" s="28" t="s">
        <v>889</v>
      </c>
      <c r="K95" s="28" t="s">
        <v>1032</v>
      </c>
      <c r="L95" s="28" t="s">
        <v>883</v>
      </c>
      <c r="M95" s="28"/>
      <c r="N95" s="28"/>
      <c r="O95" s="28"/>
      <c r="P95" s="28"/>
    </row>
    <row r="96" customFormat="false" ht="15" hidden="false" customHeight="false" outlineLevel="0" collapsed="false">
      <c r="A96" s="28" t="s">
        <v>1093</v>
      </c>
      <c r="B96" s="28" t="s">
        <v>886</v>
      </c>
      <c r="C96" s="28" t="s">
        <v>887</v>
      </c>
      <c r="D96" s="28" t="s">
        <v>1028</v>
      </c>
      <c r="E96" s="28" t="s">
        <v>1029</v>
      </c>
      <c r="F96" s="32" t="n">
        <v>36.43</v>
      </c>
      <c r="G96" s="28" t="s">
        <v>108</v>
      </c>
      <c r="H96" s="28" t="s">
        <v>1094</v>
      </c>
      <c r="I96" s="28" t="s">
        <v>1026</v>
      </c>
      <c r="J96" s="28" t="s">
        <v>1026</v>
      </c>
      <c r="K96" s="28" t="s">
        <v>1037</v>
      </c>
      <c r="L96" s="28" t="s">
        <v>1006</v>
      </c>
      <c r="M96" s="28"/>
      <c r="N96" s="28"/>
      <c r="O96" s="28"/>
      <c r="P96" s="28"/>
    </row>
    <row r="97" customFormat="false" ht="15" hidden="false" customHeight="false" outlineLevel="0" collapsed="false">
      <c r="A97" s="28" t="s">
        <v>1095</v>
      </c>
      <c r="B97" s="28" t="s">
        <v>923</v>
      </c>
      <c r="C97" s="28" t="s">
        <v>924</v>
      </c>
      <c r="D97" s="28" t="s">
        <v>1028</v>
      </c>
      <c r="E97" s="28" t="s">
        <v>1029</v>
      </c>
      <c r="F97" s="32" t="n">
        <v>46759.76</v>
      </c>
      <c r="G97" s="28" t="s">
        <v>108</v>
      </c>
      <c r="H97" s="28" t="s">
        <v>1096</v>
      </c>
      <c r="I97" s="28" t="s">
        <v>889</v>
      </c>
      <c r="J97" s="28" t="s">
        <v>889</v>
      </c>
      <c r="K97" s="28" t="s">
        <v>1057</v>
      </c>
      <c r="L97" s="28" t="s">
        <v>1058</v>
      </c>
      <c r="M97" s="28"/>
      <c r="N97" s="28"/>
      <c r="O97" s="28"/>
      <c r="P97" s="28"/>
    </row>
    <row r="98" customFormat="false" ht="15" hidden="false" customHeight="false" outlineLevel="0" collapsed="false">
      <c r="A98" s="28" t="s">
        <v>1097</v>
      </c>
      <c r="B98" s="28" t="s">
        <v>919</v>
      </c>
      <c r="C98" s="28" t="s">
        <v>161</v>
      </c>
      <c r="D98" s="28" t="s">
        <v>1098</v>
      </c>
      <c r="E98" s="28" t="s">
        <v>1099</v>
      </c>
      <c r="F98" s="32" t="n">
        <v>44872</v>
      </c>
      <c r="G98" s="28" t="s">
        <v>108</v>
      </c>
      <c r="H98" s="28" t="s">
        <v>1100</v>
      </c>
      <c r="I98" s="28" t="s">
        <v>1101</v>
      </c>
      <c r="J98" s="28" t="s">
        <v>1101</v>
      </c>
      <c r="K98" s="28" t="s">
        <v>1102</v>
      </c>
      <c r="L98" s="28" t="s">
        <v>899</v>
      </c>
      <c r="M98" s="28" t="s">
        <v>1103</v>
      </c>
      <c r="N98" s="28"/>
      <c r="O98" s="28"/>
      <c r="P98" s="28"/>
    </row>
    <row r="99" customFormat="false" ht="15" hidden="false" customHeight="false" outlineLevel="0" collapsed="false">
      <c r="A99" s="28" t="s">
        <v>1104</v>
      </c>
      <c r="B99" s="28" t="s">
        <v>919</v>
      </c>
      <c r="C99" s="28" t="s">
        <v>161</v>
      </c>
      <c r="D99" s="28" t="s">
        <v>1098</v>
      </c>
      <c r="E99" s="28" t="s">
        <v>1099</v>
      </c>
      <c r="F99" s="32" t="n">
        <v>852</v>
      </c>
      <c r="G99" s="28" t="s">
        <v>108</v>
      </c>
      <c r="H99" s="28" t="s">
        <v>1105</v>
      </c>
      <c r="I99" s="28" t="s">
        <v>1106</v>
      </c>
      <c r="J99" s="28" t="s">
        <v>881</v>
      </c>
      <c r="K99" s="28" t="s">
        <v>1107</v>
      </c>
      <c r="L99" s="28" t="s">
        <v>899</v>
      </c>
      <c r="M99" s="28"/>
      <c r="N99" s="28"/>
      <c r="O99" s="28"/>
      <c r="P99" s="28"/>
    </row>
    <row r="100" customFormat="false" ht="15" hidden="false" customHeight="false" outlineLevel="0" collapsed="false">
      <c r="A100" s="28" t="s">
        <v>1108</v>
      </c>
      <c r="B100" s="28" t="s">
        <v>919</v>
      </c>
      <c r="C100" s="28" t="s">
        <v>161</v>
      </c>
      <c r="D100" s="28" t="s">
        <v>1098</v>
      </c>
      <c r="E100" s="28" t="s">
        <v>1099</v>
      </c>
      <c r="F100" s="32" t="n">
        <v>15865</v>
      </c>
      <c r="G100" s="28" t="s">
        <v>108</v>
      </c>
      <c r="H100" s="28" t="s">
        <v>1109</v>
      </c>
      <c r="I100" s="28" t="s">
        <v>1101</v>
      </c>
      <c r="J100" s="28" t="s">
        <v>1101</v>
      </c>
      <c r="K100" s="28" t="s">
        <v>1110</v>
      </c>
      <c r="L100" s="28" t="s">
        <v>899</v>
      </c>
      <c r="M100" s="28" t="s">
        <v>1103</v>
      </c>
      <c r="N100" s="28"/>
      <c r="O100" s="28"/>
      <c r="P100" s="28"/>
    </row>
    <row r="101" customFormat="false" ht="15" hidden="false" customHeight="false" outlineLevel="0" collapsed="false">
      <c r="A101" s="28" t="s">
        <v>1111</v>
      </c>
      <c r="B101" s="28" t="s">
        <v>919</v>
      </c>
      <c r="C101" s="28" t="s">
        <v>161</v>
      </c>
      <c r="D101" s="28" t="s">
        <v>1098</v>
      </c>
      <c r="E101" s="28" t="s">
        <v>1099</v>
      </c>
      <c r="F101" s="32" t="n">
        <v>49928</v>
      </c>
      <c r="G101" s="28" t="s">
        <v>108</v>
      </c>
      <c r="H101" s="28" t="s">
        <v>1112</v>
      </c>
      <c r="I101" s="28" t="s">
        <v>889</v>
      </c>
      <c r="J101" s="28" t="s">
        <v>889</v>
      </c>
      <c r="K101" s="28" t="s">
        <v>1113</v>
      </c>
      <c r="L101" s="28" t="s">
        <v>899</v>
      </c>
      <c r="M101" s="28" t="s">
        <v>1103</v>
      </c>
      <c r="N101" s="28"/>
      <c r="O101" s="28"/>
      <c r="P101" s="28"/>
    </row>
    <row r="102" customFormat="false" ht="15" hidden="false" customHeight="false" outlineLevel="0" collapsed="false">
      <c r="A102" s="28" t="s">
        <v>1114</v>
      </c>
      <c r="B102" s="28" t="s">
        <v>886</v>
      </c>
      <c r="C102" s="28" t="s">
        <v>887</v>
      </c>
      <c r="D102" s="28" t="s">
        <v>1098</v>
      </c>
      <c r="E102" s="28" t="s">
        <v>1099</v>
      </c>
      <c r="F102" s="32" t="n">
        <v>341</v>
      </c>
      <c r="G102" s="28" t="s">
        <v>108</v>
      </c>
      <c r="H102" s="28" t="s">
        <v>1115</v>
      </c>
      <c r="I102" s="28" t="s">
        <v>1106</v>
      </c>
      <c r="J102" s="28" t="s">
        <v>881</v>
      </c>
      <c r="K102" s="28" t="s">
        <v>1107</v>
      </c>
      <c r="L102" s="28" t="s">
        <v>899</v>
      </c>
      <c r="M102" s="28"/>
      <c r="N102" s="28"/>
      <c r="O102" s="28"/>
      <c r="P102" s="28"/>
    </row>
    <row r="103" customFormat="false" ht="15" hidden="false" customHeight="false" outlineLevel="0" collapsed="false">
      <c r="A103" s="28" t="s">
        <v>1116</v>
      </c>
      <c r="B103" s="28" t="s">
        <v>919</v>
      </c>
      <c r="C103" s="28" t="s">
        <v>161</v>
      </c>
      <c r="D103" s="28" t="s">
        <v>1098</v>
      </c>
      <c r="E103" s="28" t="s">
        <v>1099</v>
      </c>
      <c r="F103" s="32" t="n">
        <v>44003</v>
      </c>
      <c r="G103" s="28" t="s">
        <v>108</v>
      </c>
      <c r="H103" s="28" t="s">
        <v>1117</v>
      </c>
      <c r="I103" s="28" t="s">
        <v>881</v>
      </c>
      <c r="J103" s="28" t="s">
        <v>881</v>
      </c>
      <c r="K103" s="28" t="s">
        <v>1118</v>
      </c>
      <c r="L103" s="28" t="s">
        <v>899</v>
      </c>
      <c r="M103" s="28" t="s">
        <v>1103</v>
      </c>
      <c r="N103" s="28"/>
      <c r="O103" s="28"/>
      <c r="P103" s="28"/>
    </row>
    <row r="104" customFormat="false" ht="15" hidden="false" customHeight="false" outlineLevel="0" collapsed="false">
      <c r="A104" s="28" t="s">
        <v>1119</v>
      </c>
      <c r="B104" s="28" t="s">
        <v>919</v>
      </c>
      <c r="C104" s="28" t="s">
        <v>161</v>
      </c>
      <c r="D104" s="28" t="s">
        <v>1098</v>
      </c>
      <c r="E104" s="28" t="s">
        <v>1099</v>
      </c>
      <c r="F104" s="32" t="n">
        <v>47637</v>
      </c>
      <c r="G104" s="28" t="s">
        <v>108</v>
      </c>
      <c r="H104" s="28" t="s">
        <v>1120</v>
      </c>
      <c r="I104" s="28" t="s">
        <v>889</v>
      </c>
      <c r="J104" s="28" t="s">
        <v>889</v>
      </c>
      <c r="K104" s="28" t="s">
        <v>1121</v>
      </c>
      <c r="L104" s="28" t="s">
        <v>899</v>
      </c>
      <c r="M104" s="28" t="s">
        <v>1103</v>
      </c>
      <c r="N104" s="28"/>
      <c r="O104" s="28"/>
      <c r="P104" s="28"/>
    </row>
    <row r="105" customFormat="false" ht="15" hidden="false" customHeight="false" outlineLevel="0" collapsed="false">
      <c r="A105" s="28" t="s">
        <v>1122</v>
      </c>
      <c r="B105" s="28" t="s">
        <v>919</v>
      </c>
      <c r="C105" s="28" t="s">
        <v>161</v>
      </c>
      <c r="D105" s="28" t="s">
        <v>1098</v>
      </c>
      <c r="E105" s="28" t="s">
        <v>1099</v>
      </c>
      <c r="F105" s="32" t="n">
        <v>170</v>
      </c>
      <c r="G105" s="28" t="s">
        <v>108</v>
      </c>
      <c r="H105" s="28" t="s">
        <v>1123</v>
      </c>
      <c r="I105" s="28" t="s">
        <v>1106</v>
      </c>
      <c r="J105" s="28" t="s">
        <v>881</v>
      </c>
      <c r="K105" s="28" t="s">
        <v>1107</v>
      </c>
      <c r="L105" s="28" t="s">
        <v>899</v>
      </c>
      <c r="M105" s="28"/>
      <c r="N105" s="28"/>
      <c r="O105" s="28"/>
      <c r="P105" s="28"/>
    </row>
    <row r="106" customFormat="false" ht="15" hidden="false" customHeight="false" outlineLevel="0" collapsed="false">
      <c r="A106" s="28" t="s">
        <v>1124</v>
      </c>
      <c r="B106" s="28" t="s">
        <v>919</v>
      </c>
      <c r="C106" s="28" t="s">
        <v>161</v>
      </c>
      <c r="D106" s="28" t="s">
        <v>1098</v>
      </c>
      <c r="E106" s="28" t="s">
        <v>1099</v>
      </c>
      <c r="F106" s="32" t="n">
        <v>10520</v>
      </c>
      <c r="G106" s="28" t="s">
        <v>108</v>
      </c>
      <c r="H106" s="28" t="s">
        <v>1125</v>
      </c>
      <c r="I106" s="28" t="s">
        <v>1126</v>
      </c>
      <c r="J106" s="28" t="s">
        <v>1126</v>
      </c>
      <c r="K106" s="28" t="s">
        <v>1127</v>
      </c>
      <c r="L106" s="28" t="s">
        <v>899</v>
      </c>
      <c r="M106" s="28" t="s">
        <v>1128</v>
      </c>
      <c r="N106" s="28"/>
      <c r="O106" s="28"/>
      <c r="P106" s="28"/>
    </row>
    <row r="107" customFormat="false" ht="15" hidden="false" customHeight="false" outlineLevel="0" collapsed="false">
      <c r="A107" s="28" t="s">
        <v>1129</v>
      </c>
      <c r="B107" s="28" t="s">
        <v>919</v>
      </c>
      <c r="C107" s="28" t="s">
        <v>161</v>
      </c>
      <c r="D107" s="28" t="s">
        <v>1098</v>
      </c>
      <c r="E107" s="28" t="s">
        <v>1099</v>
      </c>
      <c r="F107" s="32" t="n">
        <v>47637</v>
      </c>
      <c r="G107" s="28" t="s">
        <v>108</v>
      </c>
      <c r="H107" s="28" t="s">
        <v>1130</v>
      </c>
      <c r="I107" s="28" t="s">
        <v>881</v>
      </c>
      <c r="J107" s="28" t="s">
        <v>881</v>
      </c>
      <c r="K107" s="28" t="s">
        <v>1131</v>
      </c>
      <c r="L107" s="28" t="s">
        <v>899</v>
      </c>
      <c r="M107" s="28" t="s">
        <v>1103</v>
      </c>
      <c r="N107" s="28"/>
      <c r="O107" s="28"/>
      <c r="P107" s="28"/>
    </row>
    <row r="108" customFormat="false" ht="15" hidden="false" customHeight="false" outlineLevel="0" collapsed="false">
      <c r="A108" s="28" t="s">
        <v>1132</v>
      </c>
      <c r="B108" s="28" t="s">
        <v>919</v>
      </c>
      <c r="C108" s="28" t="s">
        <v>161</v>
      </c>
      <c r="D108" s="28" t="s">
        <v>1098</v>
      </c>
      <c r="E108" s="28" t="s">
        <v>1099</v>
      </c>
      <c r="F108" s="32" t="n">
        <v>38631</v>
      </c>
      <c r="G108" s="28" t="s">
        <v>108</v>
      </c>
      <c r="H108" s="28" t="s">
        <v>1133</v>
      </c>
      <c r="I108" s="28" t="s">
        <v>881</v>
      </c>
      <c r="J108" s="28" t="s">
        <v>881</v>
      </c>
      <c r="K108" s="28" t="s">
        <v>1134</v>
      </c>
      <c r="L108" s="28" t="s">
        <v>899</v>
      </c>
      <c r="M108" s="28" t="s">
        <v>1103</v>
      </c>
      <c r="N108" s="28"/>
      <c r="O108" s="28"/>
      <c r="P108" s="28"/>
    </row>
    <row r="109" customFormat="false" ht="15" hidden="false" customHeight="false" outlineLevel="0" collapsed="false">
      <c r="A109" s="28" t="s">
        <v>1135</v>
      </c>
      <c r="B109" s="28" t="s">
        <v>919</v>
      </c>
      <c r="C109" s="28" t="s">
        <v>161</v>
      </c>
      <c r="D109" s="28" t="s">
        <v>1098</v>
      </c>
      <c r="E109" s="28" t="s">
        <v>1099</v>
      </c>
      <c r="F109" s="32" t="n">
        <v>53799</v>
      </c>
      <c r="G109" s="28" t="s">
        <v>108</v>
      </c>
      <c r="H109" s="28" t="s">
        <v>1136</v>
      </c>
      <c r="I109" s="28" t="s">
        <v>889</v>
      </c>
      <c r="J109" s="28" t="s">
        <v>889</v>
      </c>
      <c r="K109" s="28" t="s">
        <v>1137</v>
      </c>
      <c r="L109" s="28" t="s">
        <v>899</v>
      </c>
      <c r="M109" s="28" t="s">
        <v>1103</v>
      </c>
      <c r="N109" s="28"/>
      <c r="O109" s="28"/>
      <c r="P109" s="28"/>
    </row>
    <row r="110" customFormat="false" ht="15" hidden="false" customHeight="false" outlineLevel="0" collapsed="false">
      <c r="A110" s="28" t="s">
        <v>1138</v>
      </c>
      <c r="B110" s="28" t="s">
        <v>919</v>
      </c>
      <c r="C110" s="28" t="s">
        <v>161</v>
      </c>
      <c r="D110" s="28" t="s">
        <v>1098</v>
      </c>
      <c r="E110" s="28" t="s">
        <v>1099</v>
      </c>
      <c r="F110" s="32" t="n">
        <v>50481</v>
      </c>
      <c r="G110" s="28" t="s">
        <v>108</v>
      </c>
      <c r="H110" s="28" t="s">
        <v>1139</v>
      </c>
      <c r="I110" s="28" t="s">
        <v>889</v>
      </c>
      <c r="J110" s="28" t="s">
        <v>889</v>
      </c>
      <c r="K110" s="28" t="s">
        <v>1140</v>
      </c>
      <c r="L110" s="28" t="s">
        <v>899</v>
      </c>
      <c r="M110" s="28" t="s">
        <v>1103</v>
      </c>
      <c r="N110" s="28"/>
      <c r="O110" s="28"/>
      <c r="P110" s="28"/>
    </row>
    <row r="111" customFormat="false" ht="15" hidden="false" customHeight="false" outlineLevel="0" collapsed="false">
      <c r="A111" s="28" t="s">
        <v>1141</v>
      </c>
      <c r="B111" s="28" t="s">
        <v>919</v>
      </c>
      <c r="C111" s="28" t="s">
        <v>161</v>
      </c>
      <c r="D111" s="28" t="s">
        <v>1098</v>
      </c>
      <c r="E111" s="28" t="s">
        <v>1099</v>
      </c>
      <c r="F111" s="32" t="n">
        <v>4928</v>
      </c>
      <c r="G111" s="28" t="s">
        <v>108</v>
      </c>
      <c r="H111" s="28" t="s">
        <v>1142</v>
      </c>
      <c r="I111" s="28" t="s">
        <v>889</v>
      </c>
      <c r="J111" s="28" t="s">
        <v>889</v>
      </c>
      <c r="K111" s="28" t="s">
        <v>1143</v>
      </c>
      <c r="L111" s="28" t="s">
        <v>899</v>
      </c>
      <c r="M111" s="28" t="s">
        <v>1103</v>
      </c>
      <c r="N111" s="28"/>
      <c r="O111" s="28"/>
      <c r="P111" s="28"/>
    </row>
    <row r="112" customFormat="false" ht="15" hidden="false" customHeight="false" outlineLevel="0" collapsed="false">
      <c r="A112" s="28" t="s">
        <v>1144</v>
      </c>
      <c r="B112" s="28" t="s">
        <v>919</v>
      </c>
      <c r="C112" s="28" t="s">
        <v>161</v>
      </c>
      <c r="D112" s="28" t="s">
        <v>1098</v>
      </c>
      <c r="E112" s="28" t="s">
        <v>1099</v>
      </c>
      <c r="F112" s="32" t="n">
        <v>54668</v>
      </c>
      <c r="G112" s="28" t="s">
        <v>108</v>
      </c>
      <c r="H112" s="28" t="s">
        <v>1145</v>
      </c>
      <c r="I112" s="28" t="s">
        <v>881</v>
      </c>
      <c r="J112" s="28" t="s">
        <v>881</v>
      </c>
      <c r="K112" s="28" t="s">
        <v>1146</v>
      </c>
      <c r="L112" s="28" t="s">
        <v>899</v>
      </c>
      <c r="M112" s="28" t="s">
        <v>1103</v>
      </c>
      <c r="N112" s="28"/>
      <c r="O112" s="28"/>
      <c r="P112" s="28"/>
    </row>
    <row r="113" customFormat="false" ht="15" hidden="false" customHeight="false" outlineLevel="0" collapsed="false">
      <c r="A113" s="28" t="s">
        <v>1147</v>
      </c>
      <c r="B113" s="28" t="s">
        <v>919</v>
      </c>
      <c r="C113" s="28" t="s">
        <v>161</v>
      </c>
      <c r="D113" s="28" t="s">
        <v>1098</v>
      </c>
      <c r="E113" s="28" t="s">
        <v>1099</v>
      </c>
      <c r="F113" s="32" t="n">
        <v>116200</v>
      </c>
      <c r="G113" s="28" t="s">
        <v>108</v>
      </c>
      <c r="H113" s="28" t="s">
        <v>1148</v>
      </c>
      <c r="I113" s="28" t="s">
        <v>889</v>
      </c>
      <c r="J113" s="28" t="s">
        <v>889</v>
      </c>
      <c r="K113" s="28"/>
      <c r="L113" s="28" t="s">
        <v>899</v>
      </c>
      <c r="M113" s="28"/>
      <c r="N113" s="28"/>
      <c r="O113" s="28"/>
      <c r="P113" s="28"/>
    </row>
    <row r="114" customFormat="false" ht="15" hidden="false" customHeight="false" outlineLevel="0" collapsed="false">
      <c r="A114" s="28" t="s">
        <v>1149</v>
      </c>
      <c r="B114" s="28" t="s">
        <v>919</v>
      </c>
      <c r="C114" s="28" t="s">
        <v>161</v>
      </c>
      <c r="D114" s="28" t="s">
        <v>1098</v>
      </c>
      <c r="E114" s="28" t="s">
        <v>1099</v>
      </c>
      <c r="F114" s="32" t="n">
        <v>49612</v>
      </c>
      <c r="G114" s="28" t="s">
        <v>108</v>
      </c>
      <c r="H114" s="28" t="s">
        <v>1150</v>
      </c>
      <c r="I114" s="28" t="s">
        <v>1101</v>
      </c>
      <c r="J114" s="28" t="s">
        <v>1101</v>
      </c>
      <c r="K114" s="28" t="s">
        <v>1151</v>
      </c>
      <c r="L114" s="28" t="s">
        <v>899</v>
      </c>
      <c r="M114" s="28" t="s">
        <v>1103</v>
      </c>
      <c r="N114" s="28"/>
      <c r="O114" s="28"/>
      <c r="P114" s="28"/>
    </row>
    <row r="115" customFormat="false" ht="15" hidden="false" customHeight="false" outlineLevel="0" collapsed="false">
      <c r="A115" s="28" t="s">
        <v>1152</v>
      </c>
      <c r="B115" s="28" t="s">
        <v>919</v>
      </c>
      <c r="C115" s="28" t="s">
        <v>161</v>
      </c>
      <c r="D115" s="28" t="s">
        <v>1098</v>
      </c>
      <c r="E115" s="28" t="s">
        <v>1099</v>
      </c>
      <c r="F115" s="32" t="n">
        <v>61541</v>
      </c>
      <c r="G115" s="28" t="s">
        <v>108</v>
      </c>
      <c r="H115" s="28" t="s">
        <v>1153</v>
      </c>
      <c r="I115" s="28" t="s">
        <v>1101</v>
      </c>
      <c r="J115" s="28" t="s">
        <v>1101</v>
      </c>
      <c r="K115" s="28" t="s">
        <v>1154</v>
      </c>
      <c r="L115" s="28" t="s">
        <v>899</v>
      </c>
      <c r="M115" s="28" t="s">
        <v>1103</v>
      </c>
      <c r="N115" s="28"/>
      <c r="O115" s="28"/>
      <c r="P115" s="28"/>
    </row>
    <row r="116" customFormat="false" ht="15" hidden="false" customHeight="false" outlineLevel="0" collapsed="false">
      <c r="A116" s="28" t="s">
        <v>1155</v>
      </c>
      <c r="B116" s="28" t="s">
        <v>915</v>
      </c>
      <c r="C116" s="28" t="s">
        <v>916</v>
      </c>
      <c r="D116" s="28" t="s">
        <v>1098</v>
      </c>
      <c r="E116" s="28" t="s">
        <v>1099</v>
      </c>
      <c r="F116" s="32" t="n">
        <v>170</v>
      </c>
      <c r="G116" s="28" t="s">
        <v>108</v>
      </c>
      <c r="H116" s="28" t="s">
        <v>1156</v>
      </c>
      <c r="I116" s="28" t="s">
        <v>1106</v>
      </c>
      <c r="J116" s="28" t="s">
        <v>881</v>
      </c>
      <c r="K116" s="28" t="s">
        <v>1107</v>
      </c>
      <c r="L116" s="28" t="s">
        <v>899</v>
      </c>
      <c r="M116" s="28"/>
      <c r="N116" s="28"/>
      <c r="O116" s="28"/>
      <c r="P116" s="28"/>
    </row>
    <row r="117" customFormat="false" ht="15" hidden="false" customHeight="false" outlineLevel="0" collapsed="false">
      <c r="A117" s="28" t="s">
        <v>1157</v>
      </c>
      <c r="B117" s="28" t="s">
        <v>919</v>
      </c>
      <c r="C117" s="28" t="s">
        <v>161</v>
      </c>
      <c r="D117" s="28" t="s">
        <v>1098</v>
      </c>
      <c r="E117" s="28" t="s">
        <v>1099</v>
      </c>
      <c r="F117" s="32" t="n">
        <v>45346</v>
      </c>
      <c r="G117" s="28" t="s">
        <v>108</v>
      </c>
      <c r="H117" s="28" t="s">
        <v>1158</v>
      </c>
      <c r="I117" s="28" t="s">
        <v>881</v>
      </c>
      <c r="J117" s="28" t="s">
        <v>881</v>
      </c>
      <c r="K117" s="28" t="s">
        <v>1159</v>
      </c>
      <c r="L117" s="28" t="s">
        <v>899</v>
      </c>
      <c r="M117" s="28" t="s">
        <v>1103</v>
      </c>
      <c r="N117" s="28"/>
      <c r="O117" s="28"/>
      <c r="P117" s="28"/>
    </row>
    <row r="118" customFormat="false" ht="15" hidden="false" customHeight="false" outlineLevel="0" collapsed="false">
      <c r="A118" s="28" t="s">
        <v>1160</v>
      </c>
      <c r="B118" s="28" t="s">
        <v>923</v>
      </c>
      <c r="C118" s="28" t="s">
        <v>924</v>
      </c>
      <c r="D118" s="28" t="s">
        <v>1098</v>
      </c>
      <c r="E118" s="28" t="s">
        <v>1099</v>
      </c>
      <c r="F118" s="32" t="n">
        <v>1534</v>
      </c>
      <c r="G118" s="28" t="s">
        <v>108</v>
      </c>
      <c r="H118" s="28" t="s">
        <v>1161</v>
      </c>
      <c r="I118" s="28" t="s">
        <v>1106</v>
      </c>
      <c r="J118" s="28" t="s">
        <v>881</v>
      </c>
      <c r="K118" s="28" t="s">
        <v>1107</v>
      </c>
      <c r="L118" s="28" t="s">
        <v>899</v>
      </c>
      <c r="M118" s="28"/>
      <c r="N118" s="28"/>
      <c r="O118" s="28"/>
      <c r="P118" s="28"/>
    </row>
    <row r="119" customFormat="false" ht="15" hidden="false" customHeight="false" outlineLevel="0" collapsed="false">
      <c r="A119" s="28" t="s">
        <v>1162</v>
      </c>
      <c r="B119" s="28" t="s">
        <v>919</v>
      </c>
      <c r="C119" s="28" t="s">
        <v>161</v>
      </c>
      <c r="D119" s="28" t="s">
        <v>1098</v>
      </c>
      <c r="E119" s="28" t="s">
        <v>1099</v>
      </c>
      <c r="F119" s="32" t="n">
        <v>44240</v>
      </c>
      <c r="G119" s="28" t="s">
        <v>108</v>
      </c>
      <c r="H119" s="28" t="s">
        <v>1163</v>
      </c>
      <c r="I119" s="28" t="s">
        <v>889</v>
      </c>
      <c r="J119" s="28" t="s">
        <v>889</v>
      </c>
      <c r="K119" s="28" t="s">
        <v>1164</v>
      </c>
      <c r="L119" s="28" t="s">
        <v>899</v>
      </c>
      <c r="M119" s="28" t="s">
        <v>1103</v>
      </c>
      <c r="N119" s="28"/>
      <c r="O119" s="28"/>
      <c r="P119" s="28"/>
    </row>
    <row r="120" customFormat="false" ht="15" hidden="false" customHeight="false" outlineLevel="0" collapsed="false">
      <c r="A120" s="28" t="s">
        <v>1165</v>
      </c>
      <c r="B120" s="28" t="s">
        <v>919</v>
      </c>
      <c r="C120" s="28" t="s">
        <v>161</v>
      </c>
      <c r="D120" s="28" t="s">
        <v>1098</v>
      </c>
      <c r="E120" s="28" t="s">
        <v>1099</v>
      </c>
      <c r="F120" s="32" t="n">
        <v>124185.6</v>
      </c>
      <c r="G120" s="28" t="s">
        <v>108</v>
      </c>
      <c r="H120" s="28" t="s">
        <v>1166</v>
      </c>
      <c r="I120" s="28" t="s">
        <v>1106</v>
      </c>
      <c r="J120" s="28" t="s">
        <v>881</v>
      </c>
      <c r="K120" s="28" t="s">
        <v>1107</v>
      </c>
      <c r="L120" s="28" t="s">
        <v>899</v>
      </c>
      <c r="M120" s="28"/>
      <c r="N120" s="28"/>
      <c r="O120" s="28"/>
      <c r="P120" s="28"/>
    </row>
    <row r="121" customFormat="false" ht="15" hidden="false" customHeight="false" outlineLevel="0" collapsed="false">
      <c r="A121" s="28" t="s">
        <v>1167</v>
      </c>
      <c r="B121" s="28" t="s">
        <v>919</v>
      </c>
      <c r="C121" s="28" t="s">
        <v>161</v>
      </c>
      <c r="D121" s="28" t="s">
        <v>1098</v>
      </c>
      <c r="E121" s="28" t="s">
        <v>1099</v>
      </c>
      <c r="F121" s="32" t="n">
        <v>53720</v>
      </c>
      <c r="G121" s="28" t="s">
        <v>108</v>
      </c>
      <c r="H121" s="28" t="s">
        <v>1168</v>
      </c>
      <c r="I121" s="28" t="s">
        <v>881</v>
      </c>
      <c r="J121" s="28" t="s">
        <v>881</v>
      </c>
      <c r="K121" s="28" t="s">
        <v>1169</v>
      </c>
      <c r="L121" s="28" t="s">
        <v>899</v>
      </c>
      <c r="M121" s="28" t="s">
        <v>1103</v>
      </c>
      <c r="N121" s="28"/>
      <c r="O121" s="28"/>
      <c r="P121" s="28"/>
    </row>
    <row r="122" customFormat="false" ht="15" hidden="false" customHeight="false" outlineLevel="0" collapsed="false">
      <c r="A122" s="28" t="s">
        <v>1170</v>
      </c>
      <c r="B122" s="28" t="s">
        <v>919</v>
      </c>
      <c r="C122" s="28" t="s">
        <v>161</v>
      </c>
      <c r="D122" s="28" t="s">
        <v>1098</v>
      </c>
      <c r="E122" s="28" t="s">
        <v>1099</v>
      </c>
      <c r="F122" s="32" t="n">
        <v>26908</v>
      </c>
      <c r="G122" s="28" t="s">
        <v>108</v>
      </c>
      <c r="H122" s="28" t="s">
        <v>1171</v>
      </c>
      <c r="I122" s="28" t="s">
        <v>881</v>
      </c>
      <c r="J122" s="28" t="s">
        <v>881</v>
      </c>
      <c r="K122" s="28" t="s">
        <v>1172</v>
      </c>
      <c r="L122" s="28" t="s">
        <v>899</v>
      </c>
      <c r="M122" s="28" t="s">
        <v>1103</v>
      </c>
      <c r="N122" s="28"/>
      <c r="O122" s="28"/>
      <c r="P122" s="28"/>
    </row>
    <row r="123" customFormat="false" ht="15" hidden="false" customHeight="false" outlineLevel="0" collapsed="false">
      <c r="A123" s="28" t="s">
        <v>1173</v>
      </c>
      <c r="B123" s="28" t="s">
        <v>919</v>
      </c>
      <c r="C123" s="28" t="s">
        <v>161</v>
      </c>
      <c r="D123" s="28" t="s">
        <v>1098</v>
      </c>
      <c r="E123" s="28" t="s">
        <v>1099</v>
      </c>
      <c r="F123" s="32" t="n">
        <v>49059</v>
      </c>
      <c r="G123" s="28" t="s">
        <v>108</v>
      </c>
      <c r="H123" s="28" t="s">
        <v>1174</v>
      </c>
      <c r="I123" s="28" t="s">
        <v>889</v>
      </c>
      <c r="J123" s="28" t="s">
        <v>889</v>
      </c>
      <c r="K123" s="28" t="s">
        <v>1175</v>
      </c>
      <c r="L123" s="28" t="s">
        <v>899</v>
      </c>
      <c r="M123" s="28" t="s">
        <v>1103</v>
      </c>
      <c r="N123" s="28"/>
      <c r="O123" s="28"/>
      <c r="P123" s="28"/>
    </row>
    <row r="124" customFormat="false" ht="15" hidden="false" customHeight="false" outlineLevel="0" collapsed="false">
      <c r="A124" s="28" t="s">
        <v>1176</v>
      </c>
      <c r="B124" s="28" t="s">
        <v>919</v>
      </c>
      <c r="C124" s="28" t="s">
        <v>161</v>
      </c>
      <c r="D124" s="28" t="s">
        <v>1098</v>
      </c>
      <c r="E124" s="28" t="s">
        <v>1099</v>
      </c>
      <c r="F124" s="32" t="n">
        <v>4399.59</v>
      </c>
      <c r="G124" s="28" t="s">
        <v>108</v>
      </c>
      <c r="H124" s="28" t="s">
        <v>1177</v>
      </c>
      <c r="I124" s="28" t="s">
        <v>1106</v>
      </c>
      <c r="J124" s="28" t="s">
        <v>881</v>
      </c>
      <c r="K124" s="28" t="s">
        <v>1107</v>
      </c>
      <c r="L124" s="28" t="s">
        <v>899</v>
      </c>
      <c r="M124" s="28"/>
      <c r="N124" s="28"/>
      <c r="O124" s="28"/>
      <c r="P124" s="28"/>
    </row>
    <row r="125" customFormat="false" ht="15" hidden="false" customHeight="false" outlineLevel="0" collapsed="false">
      <c r="A125" s="28" t="s">
        <v>1178</v>
      </c>
      <c r="B125" s="28" t="s">
        <v>919</v>
      </c>
      <c r="C125" s="28" t="s">
        <v>161</v>
      </c>
      <c r="D125" s="28" t="s">
        <v>1098</v>
      </c>
      <c r="E125" s="28" t="s">
        <v>1099</v>
      </c>
      <c r="F125" s="32" t="n">
        <v>46373</v>
      </c>
      <c r="G125" s="28" t="s">
        <v>108</v>
      </c>
      <c r="H125" s="28" t="s">
        <v>1179</v>
      </c>
      <c r="I125" s="28" t="s">
        <v>889</v>
      </c>
      <c r="J125" s="28" t="s">
        <v>889</v>
      </c>
      <c r="K125" s="28" t="s">
        <v>1180</v>
      </c>
      <c r="L125" s="28" t="s">
        <v>899</v>
      </c>
      <c r="M125" s="28" t="s">
        <v>1103</v>
      </c>
      <c r="N125" s="28"/>
      <c r="O125" s="28"/>
      <c r="P125" s="28"/>
    </row>
    <row r="126" customFormat="false" ht="15" hidden="false" customHeight="false" outlineLevel="0" collapsed="false">
      <c r="A126" s="28" t="s">
        <v>1181</v>
      </c>
      <c r="B126" s="28" t="s">
        <v>919</v>
      </c>
      <c r="C126" s="28" t="s">
        <v>161</v>
      </c>
      <c r="D126" s="28" t="s">
        <v>1098</v>
      </c>
      <c r="E126" s="28" t="s">
        <v>1099</v>
      </c>
      <c r="F126" s="32" t="n">
        <v>49849</v>
      </c>
      <c r="G126" s="28" t="s">
        <v>108</v>
      </c>
      <c r="H126" s="28" t="s">
        <v>1182</v>
      </c>
      <c r="I126" s="28" t="s">
        <v>889</v>
      </c>
      <c r="J126" s="28" t="s">
        <v>889</v>
      </c>
      <c r="K126" s="28" t="s">
        <v>1183</v>
      </c>
      <c r="L126" s="28" t="s">
        <v>899</v>
      </c>
      <c r="M126" s="28" t="s">
        <v>1103</v>
      </c>
      <c r="N126" s="28"/>
      <c r="O126" s="28"/>
      <c r="P126" s="28"/>
    </row>
    <row r="127" customFormat="false" ht="15" hidden="false" customHeight="false" outlineLevel="0" collapsed="false">
      <c r="A127" s="28" t="s">
        <v>1184</v>
      </c>
      <c r="B127" s="28" t="s">
        <v>919</v>
      </c>
      <c r="C127" s="28" t="s">
        <v>161</v>
      </c>
      <c r="D127" s="28" t="s">
        <v>1098</v>
      </c>
      <c r="E127" s="28" t="s">
        <v>1099</v>
      </c>
      <c r="F127" s="32" t="n">
        <v>44003</v>
      </c>
      <c r="G127" s="28" t="s">
        <v>108</v>
      </c>
      <c r="H127" s="28" t="s">
        <v>1185</v>
      </c>
      <c r="I127" s="28" t="s">
        <v>1101</v>
      </c>
      <c r="J127" s="28" t="s">
        <v>1101</v>
      </c>
      <c r="K127" s="28" t="s">
        <v>1186</v>
      </c>
      <c r="L127" s="28" t="s">
        <v>899</v>
      </c>
      <c r="M127" s="28" t="s">
        <v>1103</v>
      </c>
      <c r="N127" s="28"/>
      <c r="O127" s="28"/>
      <c r="P127" s="28"/>
    </row>
    <row r="128" customFormat="false" ht="15" hidden="false" customHeight="false" outlineLevel="0" collapsed="false">
      <c r="A128" s="28" t="s">
        <v>1187</v>
      </c>
      <c r="B128" s="28" t="s">
        <v>919</v>
      </c>
      <c r="C128" s="28" t="s">
        <v>161</v>
      </c>
      <c r="D128" s="28" t="s">
        <v>1098</v>
      </c>
      <c r="E128" s="28" t="s">
        <v>1099</v>
      </c>
      <c r="F128" s="32" t="n">
        <v>37367</v>
      </c>
      <c r="G128" s="28" t="s">
        <v>108</v>
      </c>
      <c r="H128" s="28" t="s">
        <v>1188</v>
      </c>
      <c r="I128" s="28" t="s">
        <v>881</v>
      </c>
      <c r="J128" s="28" t="s">
        <v>881</v>
      </c>
      <c r="K128" s="28" t="s">
        <v>1189</v>
      </c>
      <c r="L128" s="28" t="s">
        <v>899</v>
      </c>
      <c r="M128" s="28" t="s">
        <v>1103</v>
      </c>
      <c r="N128" s="28"/>
      <c r="O128" s="28"/>
      <c r="P128" s="28"/>
    </row>
    <row r="129" customFormat="false" ht="15" hidden="false" customHeight="false" outlineLevel="0" collapsed="false">
      <c r="A129" s="28" t="s">
        <v>1190</v>
      </c>
      <c r="B129" s="28" t="s">
        <v>919</v>
      </c>
      <c r="C129" s="28" t="s">
        <v>161</v>
      </c>
      <c r="D129" s="28" t="s">
        <v>1191</v>
      </c>
      <c r="E129" s="28" t="s">
        <v>1192</v>
      </c>
      <c r="F129" s="32" t="n">
        <v>-116200</v>
      </c>
      <c r="G129" s="28" t="s">
        <v>108</v>
      </c>
      <c r="H129" s="28" t="s">
        <v>1148</v>
      </c>
      <c r="I129" s="28" t="s">
        <v>889</v>
      </c>
      <c r="J129" s="28" t="s">
        <v>889</v>
      </c>
      <c r="K129" s="28"/>
      <c r="L129" s="28" t="s">
        <v>899</v>
      </c>
      <c r="M129" s="28"/>
      <c r="N129" s="28"/>
      <c r="O129" s="28"/>
      <c r="P129" s="28"/>
    </row>
    <row r="130" customFormat="false" ht="15" hidden="false" customHeight="false" outlineLevel="0" collapsed="false">
      <c r="A130" s="28" t="s">
        <v>1193</v>
      </c>
      <c r="B130" s="28" t="s">
        <v>919</v>
      </c>
      <c r="C130" s="28" t="s">
        <v>161</v>
      </c>
      <c r="D130" s="28" t="s">
        <v>1191</v>
      </c>
      <c r="E130" s="28" t="s">
        <v>1192</v>
      </c>
      <c r="F130" s="32" t="n">
        <v>7055</v>
      </c>
      <c r="G130" s="28" t="s">
        <v>108</v>
      </c>
      <c r="H130" s="28" t="s">
        <v>1171</v>
      </c>
      <c r="I130" s="28" t="s">
        <v>881</v>
      </c>
      <c r="J130" s="28" t="s">
        <v>881</v>
      </c>
      <c r="K130" s="28" t="s">
        <v>1172</v>
      </c>
      <c r="L130" s="28" t="s">
        <v>899</v>
      </c>
      <c r="M130" s="28" t="s">
        <v>1103</v>
      </c>
      <c r="N130" s="28"/>
      <c r="O130" s="28"/>
      <c r="P130" s="28"/>
    </row>
    <row r="131" customFormat="false" ht="15" hidden="false" customHeight="false" outlineLevel="0" collapsed="false">
      <c r="A131" s="28" t="s">
        <v>1194</v>
      </c>
      <c r="B131" s="28" t="s">
        <v>919</v>
      </c>
      <c r="C131" s="28" t="s">
        <v>161</v>
      </c>
      <c r="D131" s="28" t="s">
        <v>1191</v>
      </c>
      <c r="E131" s="28" t="s">
        <v>1192</v>
      </c>
      <c r="F131" s="32" t="n">
        <v>8300</v>
      </c>
      <c r="G131" s="28" t="s">
        <v>108</v>
      </c>
      <c r="H131" s="28" t="s">
        <v>1136</v>
      </c>
      <c r="I131" s="28" t="s">
        <v>889</v>
      </c>
      <c r="J131" s="28" t="s">
        <v>889</v>
      </c>
      <c r="K131" s="28" t="s">
        <v>1137</v>
      </c>
      <c r="L131" s="28" t="s">
        <v>899</v>
      </c>
      <c r="M131" s="28" t="s">
        <v>1103</v>
      </c>
      <c r="N131" s="28"/>
      <c r="O131" s="28"/>
      <c r="P131" s="28"/>
    </row>
    <row r="132" customFormat="false" ht="15" hidden="false" customHeight="false" outlineLevel="0" collapsed="false">
      <c r="A132" s="28" t="s">
        <v>1195</v>
      </c>
      <c r="B132" s="28" t="s">
        <v>919</v>
      </c>
      <c r="C132" s="28" t="s">
        <v>161</v>
      </c>
      <c r="D132" s="28" t="s">
        <v>1191</v>
      </c>
      <c r="E132" s="28" t="s">
        <v>1192</v>
      </c>
      <c r="F132" s="32" t="n">
        <v>8300</v>
      </c>
      <c r="G132" s="28" t="s">
        <v>108</v>
      </c>
      <c r="H132" s="28" t="s">
        <v>1174</v>
      </c>
      <c r="I132" s="28" t="s">
        <v>889</v>
      </c>
      <c r="J132" s="28" t="s">
        <v>889</v>
      </c>
      <c r="K132" s="28" t="s">
        <v>1175</v>
      </c>
      <c r="L132" s="28" t="s">
        <v>899</v>
      </c>
      <c r="M132" s="28" t="s">
        <v>1103</v>
      </c>
      <c r="N132" s="28"/>
      <c r="O132" s="28"/>
      <c r="P132" s="28"/>
    </row>
    <row r="133" customFormat="false" ht="15" hidden="false" customHeight="false" outlineLevel="0" collapsed="false">
      <c r="A133" s="28" t="s">
        <v>1196</v>
      </c>
      <c r="B133" s="28" t="s">
        <v>919</v>
      </c>
      <c r="C133" s="28" t="s">
        <v>161</v>
      </c>
      <c r="D133" s="28" t="s">
        <v>1191</v>
      </c>
      <c r="E133" s="28" t="s">
        <v>1192</v>
      </c>
      <c r="F133" s="32" t="n">
        <v>8300</v>
      </c>
      <c r="G133" s="28" t="s">
        <v>108</v>
      </c>
      <c r="H133" s="28" t="s">
        <v>1109</v>
      </c>
      <c r="I133" s="28" t="s">
        <v>1101</v>
      </c>
      <c r="J133" s="28" t="s">
        <v>1101</v>
      </c>
      <c r="K133" s="28" t="s">
        <v>1110</v>
      </c>
      <c r="L133" s="28" t="s">
        <v>899</v>
      </c>
      <c r="M133" s="28" t="s">
        <v>1103</v>
      </c>
      <c r="N133" s="28"/>
      <c r="O133" s="28"/>
      <c r="P133" s="28"/>
    </row>
    <row r="134" customFormat="false" ht="15" hidden="false" customHeight="false" outlineLevel="0" collapsed="false">
      <c r="A134" s="28" t="s">
        <v>1197</v>
      </c>
      <c r="B134" s="28" t="s">
        <v>919</v>
      </c>
      <c r="C134" s="28" t="s">
        <v>161</v>
      </c>
      <c r="D134" s="28" t="s">
        <v>1191</v>
      </c>
      <c r="E134" s="28" t="s">
        <v>1192</v>
      </c>
      <c r="F134" s="32" t="n">
        <v>8300</v>
      </c>
      <c r="G134" s="28" t="s">
        <v>108</v>
      </c>
      <c r="H134" s="28" t="s">
        <v>1142</v>
      </c>
      <c r="I134" s="28" t="s">
        <v>889</v>
      </c>
      <c r="J134" s="28" t="s">
        <v>889</v>
      </c>
      <c r="K134" s="28" t="s">
        <v>1143</v>
      </c>
      <c r="L134" s="28" t="s">
        <v>899</v>
      </c>
      <c r="M134" s="28" t="s">
        <v>1103</v>
      </c>
      <c r="N134" s="28"/>
      <c r="O134" s="28"/>
      <c r="P134" s="28"/>
    </row>
    <row r="135" customFormat="false" ht="15" hidden="false" customHeight="false" outlineLevel="0" collapsed="false">
      <c r="A135" s="28" t="s">
        <v>1198</v>
      </c>
      <c r="B135" s="28" t="s">
        <v>919</v>
      </c>
      <c r="C135" s="28" t="s">
        <v>161</v>
      </c>
      <c r="D135" s="28" t="s">
        <v>1191</v>
      </c>
      <c r="E135" s="28" t="s">
        <v>1192</v>
      </c>
      <c r="F135" s="32" t="n">
        <v>8300</v>
      </c>
      <c r="G135" s="28" t="s">
        <v>108</v>
      </c>
      <c r="H135" s="28" t="s">
        <v>1145</v>
      </c>
      <c r="I135" s="28" t="s">
        <v>881</v>
      </c>
      <c r="J135" s="28" t="s">
        <v>881</v>
      </c>
      <c r="K135" s="28" t="s">
        <v>1146</v>
      </c>
      <c r="L135" s="28" t="s">
        <v>899</v>
      </c>
      <c r="M135" s="28" t="s">
        <v>1103</v>
      </c>
      <c r="N135" s="28"/>
      <c r="O135" s="28"/>
      <c r="P135" s="28"/>
    </row>
    <row r="136" customFormat="false" ht="15" hidden="false" customHeight="false" outlineLevel="0" collapsed="false">
      <c r="A136" s="28" t="s">
        <v>1199</v>
      </c>
      <c r="B136" s="28" t="s">
        <v>919</v>
      </c>
      <c r="C136" s="28" t="s">
        <v>161</v>
      </c>
      <c r="D136" s="28" t="s">
        <v>1191</v>
      </c>
      <c r="E136" s="28" t="s">
        <v>1192</v>
      </c>
      <c r="F136" s="32" t="n">
        <v>8300</v>
      </c>
      <c r="G136" s="28" t="s">
        <v>108</v>
      </c>
      <c r="H136" s="28" t="s">
        <v>1120</v>
      </c>
      <c r="I136" s="28" t="s">
        <v>889</v>
      </c>
      <c r="J136" s="28" t="s">
        <v>889</v>
      </c>
      <c r="K136" s="28" t="s">
        <v>1121</v>
      </c>
      <c r="L136" s="28" t="s">
        <v>899</v>
      </c>
      <c r="M136" s="28" t="s">
        <v>1103</v>
      </c>
      <c r="N136" s="28"/>
      <c r="O136" s="28"/>
      <c r="P136" s="28"/>
    </row>
    <row r="137" customFormat="false" ht="15" hidden="false" customHeight="false" outlineLevel="0" collapsed="false">
      <c r="A137" s="28" t="s">
        <v>1200</v>
      </c>
      <c r="B137" s="28" t="s">
        <v>919</v>
      </c>
      <c r="C137" s="28" t="s">
        <v>161</v>
      </c>
      <c r="D137" s="28" t="s">
        <v>1191</v>
      </c>
      <c r="E137" s="28" t="s">
        <v>1192</v>
      </c>
      <c r="F137" s="32" t="n">
        <v>8300</v>
      </c>
      <c r="G137" s="28" t="s">
        <v>108</v>
      </c>
      <c r="H137" s="28" t="s">
        <v>1163</v>
      </c>
      <c r="I137" s="28" t="s">
        <v>889</v>
      </c>
      <c r="J137" s="28" t="s">
        <v>889</v>
      </c>
      <c r="K137" s="28" t="s">
        <v>1164</v>
      </c>
      <c r="L137" s="28" t="s">
        <v>899</v>
      </c>
      <c r="M137" s="28" t="s">
        <v>1103</v>
      </c>
      <c r="N137" s="28"/>
      <c r="O137" s="28"/>
      <c r="P137" s="28"/>
    </row>
    <row r="138" customFormat="false" ht="15" hidden="false" customHeight="false" outlineLevel="0" collapsed="false">
      <c r="A138" s="28" t="s">
        <v>1201</v>
      </c>
      <c r="B138" s="28" t="s">
        <v>919</v>
      </c>
      <c r="C138" s="28" t="s">
        <v>161</v>
      </c>
      <c r="D138" s="28" t="s">
        <v>1191</v>
      </c>
      <c r="E138" s="28" t="s">
        <v>1192</v>
      </c>
      <c r="F138" s="32" t="n">
        <v>8300</v>
      </c>
      <c r="G138" s="28" t="s">
        <v>108</v>
      </c>
      <c r="H138" s="28" t="s">
        <v>1188</v>
      </c>
      <c r="I138" s="28" t="s">
        <v>881</v>
      </c>
      <c r="J138" s="28" t="s">
        <v>881</v>
      </c>
      <c r="K138" s="28" t="s">
        <v>1189</v>
      </c>
      <c r="L138" s="28" t="s">
        <v>899</v>
      </c>
      <c r="M138" s="28" t="s">
        <v>1103</v>
      </c>
      <c r="N138" s="28"/>
      <c r="O138" s="28"/>
      <c r="P138" s="28"/>
    </row>
    <row r="139" customFormat="false" ht="15" hidden="false" customHeight="false" outlineLevel="0" collapsed="false">
      <c r="A139" s="28" t="s">
        <v>1202</v>
      </c>
      <c r="B139" s="28" t="s">
        <v>919</v>
      </c>
      <c r="C139" s="28" t="s">
        <v>161</v>
      </c>
      <c r="D139" s="28" t="s">
        <v>1191</v>
      </c>
      <c r="E139" s="28" t="s">
        <v>1192</v>
      </c>
      <c r="F139" s="32" t="n">
        <v>8300</v>
      </c>
      <c r="G139" s="28" t="s">
        <v>108</v>
      </c>
      <c r="H139" s="28" t="s">
        <v>1150</v>
      </c>
      <c r="I139" s="28" t="s">
        <v>1101</v>
      </c>
      <c r="J139" s="28" t="s">
        <v>1101</v>
      </c>
      <c r="K139" s="28" t="s">
        <v>1151</v>
      </c>
      <c r="L139" s="28" t="s">
        <v>899</v>
      </c>
      <c r="M139" s="28" t="s">
        <v>1103</v>
      </c>
      <c r="N139" s="28"/>
      <c r="O139" s="28"/>
      <c r="P139" s="28"/>
    </row>
    <row r="140" customFormat="false" ht="15" hidden="false" customHeight="false" outlineLevel="0" collapsed="false">
      <c r="A140" s="28" t="s">
        <v>1203</v>
      </c>
      <c r="B140" s="28" t="s">
        <v>919</v>
      </c>
      <c r="C140" s="28" t="s">
        <v>161</v>
      </c>
      <c r="D140" s="28" t="s">
        <v>1191</v>
      </c>
      <c r="E140" s="28" t="s">
        <v>1192</v>
      </c>
      <c r="F140" s="32" t="n">
        <v>8300</v>
      </c>
      <c r="G140" s="28" t="s">
        <v>108</v>
      </c>
      <c r="H140" s="28" t="s">
        <v>1133</v>
      </c>
      <c r="I140" s="28" t="s">
        <v>881</v>
      </c>
      <c r="J140" s="28" t="s">
        <v>881</v>
      </c>
      <c r="K140" s="28" t="s">
        <v>1134</v>
      </c>
      <c r="L140" s="28" t="s">
        <v>899</v>
      </c>
      <c r="M140" s="28" t="s">
        <v>1103</v>
      </c>
      <c r="N140" s="28"/>
      <c r="O140" s="28"/>
      <c r="P140" s="28"/>
    </row>
    <row r="141" customFormat="false" ht="15" hidden="false" customHeight="false" outlineLevel="0" collapsed="false">
      <c r="A141" s="28" t="s">
        <v>1204</v>
      </c>
      <c r="B141" s="28" t="s">
        <v>919</v>
      </c>
      <c r="C141" s="28" t="s">
        <v>161</v>
      </c>
      <c r="D141" s="28" t="s">
        <v>1191</v>
      </c>
      <c r="E141" s="28" t="s">
        <v>1192</v>
      </c>
      <c r="F141" s="32" t="n">
        <v>8300</v>
      </c>
      <c r="G141" s="28" t="s">
        <v>108</v>
      </c>
      <c r="H141" s="28" t="s">
        <v>1100</v>
      </c>
      <c r="I141" s="28" t="s">
        <v>1101</v>
      </c>
      <c r="J141" s="28" t="s">
        <v>1101</v>
      </c>
      <c r="K141" s="28" t="s">
        <v>1102</v>
      </c>
      <c r="L141" s="28" t="s">
        <v>899</v>
      </c>
      <c r="M141" s="28" t="s">
        <v>1103</v>
      </c>
      <c r="N141" s="28"/>
      <c r="O141" s="28"/>
      <c r="P141" s="28"/>
    </row>
    <row r="142" customFormat="false" ht="15" hidden="false" customHeight="false" outlineLevel="0" collapsed="false">
      <c r="A142" s="28" t="s">
        <v>1205</v>
      </c>
      <c r="B142" s="28" t="s">
        <v>919</v>
      </c>
      <c r="C142" s="28" t="s">
        <v>161</v>
      </c>
      <c r="D142" s="28" t="s">
        <v>1191</v>
      </c>
      <c r="E142" s="28" t="s">
        <v>1192</v>
      </c>
      <c r="F142" s="32" t="n">
        <v>8300</v>
      </c>
      <c r="G142" s="28" t="s">
        <v>108</v>
      </c>
      <c r="H142" s="28" t="s">
        <v>1158</v>
      </c>
      <c r="I142" s="28" t="s">
        <v>881</v>
      </c>
      <c r="J142" s="28" t="s">
        <v>881</v>
      </c>
      <c r="K142" s="28" t="s">
        <v>1159</v>
      </c>
      <c r="L142" s="28" t="s">
        <v>899</v>
      </c>
      <c r="M142" s="28" t="s">
        <v>1103</v>
      </c>
      <c r="N142" s="28"/>
      <c r="O142" s="28"/>
      <c r="P142" s="28"/>
    </row>
    <row r="143" customFormat="false" ht="15" hidden="false" customHeight="false" outlineLevel="0" collapsed="false">
      <c r="A143" s="28" t="s">
        <v>1206</v>
      </c>
      <c r="B143" s="28" t="s">
        <v>919</v>
      </c>
      <c r="C143" s="28" t="s">
        <v>161</v>
      </c>
      <c r="D143" s="28" t="s">
        <v>1191</v>
      </c>
      <c r="E143" s="28" t="s">
        <v>1192</v>
      </c>
      <c r="F143" s="32" t="n">
        <v>8300</v>
      </c>
      <c r="G143" s="28" t="s">
        <v>108</v>
      </c>
      <c r="H143" s="28" t="s">
        <v>1185</v>
      </c>
      <c r="I143" s="28" t="s">
        <v>1101</v>
      </c>
      <c r="J143" s="28" t="s">
        <v>1101</v>
      </c>
      <c r="K143" s="28" t="s">
        <v>1186</v>
      </c>
      <c r="L143" s="28" t="s">
        <v>899</v>
      </c>
      <c r="M143" s="28" t="s">
        <v>1103</v>
      </c>
      <c r="N143" s="28"/>
      <c r="O143" s="28"/>
      <c r="P143" s="28"/>
    </row>
    <row r="144" customFormat="false" ht="15" hidden="false" customHeight="false" outlineLevel="0" collapsed="false">
      <c r="A144" s="28" t="s">
        <v>1207</v>
      </c>
      <c r="B144" s="28" t="s">
        <v>919</v>
      </c>
      <c r="C144" s="28" t="s">
        <v>161</v>
      </c>
      <c r="D144" s="28" t="s">
        <v>1191</v>
      </c>
      <c r="E144" s="28" t="s">
        <v>1192</v>
      </c>
      <c r="F144" s="32" t="n">
        <v>8300</v>
      </c>
      <c r="G144" s="28" t="s">
        <v>108</v>
      </c>
      <c r="H144" s="28" t="s">
        <v>1182</v>
      </c>
      <c r="I144" s="28" t="s">
        <v>889</v>
      </c>
      <c r="J144" s="28" t="s">
        <v>889</v>
      </c>
      <c r="K144" s="28" t="s">
        <v>1183</v>
      </c>
      <c r="L144" s="28" t="s">
        <v>899</v>
      </c>
      <c r="M144" s="28" t="s">
        <v>1103</v>
      </c>
      <c r="N144" s="28"/>
      <c r="O144" s="28"/>
      <c r="P144" s="28"/>
    </row>
    <row r="145" customFormat="false" ht="15" hidden="false" customHeight="false" outlineLevel="0" collapsed="false">
      <c r="A145" s="28" t="s">
        <v>1208</v>
      </c>
      <c r="B145" s="28" t="s">
        <v>919</v>
      </c>
      <c r="C145" s="28" t="s">
        <v>161</v>
      </c>
      <c r="D145" s="28" t="s">
        <v>1191</v>
      </c>
      <c r="E145" s="28" t="s">
        <v>1192</v>
      </c>
      <c r="F145" s="32" t="n">
        <v>8300</v>
      </c>
      <c r="G145" s="28" t="s">
        <v>108</v>
      </c>
      <c r="H145" s="28" t="s">
        <v>1112</v>
      </c>
      <c r="I145" s="28" t="s">
        <v>889</v>
      </c>
      <c r="J145" s="28" t="s">
        <v>889</v>
      </c>
      <c r="K145" s="28" t="s">
        <v>1113</v>
      </c>
      <c r="L145" s="28" t="s">
        <v>899</v>
      </c>
      <c r="M145" s="28" t="s">
        <v>1103</v>
      </c>
      <c r="N145" s="28"/>
      <c r="O145" s="28"/>
      <c r="P145" s="28"/>
    </row>
    <row r="146" customFormat="false" ht="15" hidden="false" customHeight="false" outlineLevel="0" collapsed="false">
      <c r="A146" s="28" t="s">
        <v>1209</v>
      </c>
      <c r="B146" s="28" t="s">
        <v>919</v>
      </c>
      <c r="C146" s="28" t="s">
        <v>161</v>
      </c>
      <c r="D146" s="28" t="s">
        <v>1191</v>
      </c>
      <c r="E146" s="28" t="s">
        <v>1192</v>
      </c>
      <c r="F146" s="32" t="n">
        <v>8300</v>
      </c>
      <c r="G146" s="28" t="s">
        <v>108</v>
      </c>
      <c r="H146" s="28" t="s">
        <v>1179</v>
      </c>
      <c r="I146" s="28" t="s">
        <v>889</v>
      </c>
      <c r="J146" s="28" t="s">
        <v>889</v>
      </c>
      <c r="K146" s="28" t="s">
        <v>1180</v>
      </c>
      <c r="L146" s="28" t="s">
        <v>899</v>
      </c>
      <c r="M146" s="28" t="s">
        <v>1103</v>
      </c>
      <c r="N146" s="28"/>
      <c r="O146" s="28"/>
      <c r="P146" s="28"/>
    </row>
    <row r="147" customFormat="false" ht="15" hidden="false" customHeight="false" outlineLevel="0" collapsed="false">
      <c r="A147" s="28" t="s">
        <v>1210</v>
      </c>
      <c r="B147" s="28" t="s">
        <v>919</v>
      </c>
      <c r="C147" s="28" t="s">
        <v>161</v>
      </c>
      <c r="D147" s="28" t="s">
        <v>1191</v>
      </c>
      <c r="E147" s="28" t="s">
        <v>1192</v>
      </c>
      <c r="F147" s="32" t="n">
        <v>8300</v>
      </c>
      <c r="G147" s="28" t="s">
        <v>108</v>
      </c>
      <c r="H147" s="28" t="s">
        <v>1130</v>
      </c>
      <c r="I147" s="28" t="s">
        <v>881</v>
      </c>
      <c r="J147" s="28" t="s">
        <v>881</v>
      </c>
      <c r="K147" s="28" t="s">
        <v>1131</v>
      </c>
      <c r="L147" s="28" t="s">
        <v>899</v>
      </c>
      <c r="M147" s="28" t="s">
        <v>1103</v>
      </c>
      <c r="N147" s="28"/>
      <c r="O147" s="28"/>
      <c r="P147" s="28"/>
    </row>
    <row r="148" customFormat="false" ht="15" hidden="false" customHeight="false" outlineLevel="0" collapsed="false">
      <c r="A148" s="28" t="s">
        <v>1211</v>
      </c>
      <c r="B148" s="28" t="s">
        <v>919</v>
      </c>
      <c r="C148" s="28" t="s">
        <v>161</v>
      </c>
      <c r="D148" s="28" t="s">
        <v>1191</v>
      </c>
      <c r="E148" s="28" t="s">
        <v>1192</v>
      </c>
      <c r="F148" s="32" t="n">
        <v>8300</v>
      </c>
      <c r="G148" s="28" t="s">
        <v>108</v>
      </c>
      <c r="H148" s="28" t="s">
        <v>1168</v>
      </c>
      <c r="I148" s="28" t="s">
        <v>881</v>
      </c>
      <c r="J148" s="28" t="s">
        <v>881</v>
      </c>
      <c r="K148" s="28" t="s">
        <v>1169</v>
      </c>
      <c r="L148" s="28" t="s">
        <v>899</v>
      </c>
      <c r="M148" s="28" t="s">
        <v>1103</v>
      </c>
      <c r="N148" s="28"/>
      <c r="O148" s="28"/>
      <c r="P148" s="28"/>
    </row>
    <row r="149" customFormat="false" ht="15" hidden="false" customHeight="false" outlineLevel="0" collapsed="false">
      <c r="A149" s="28" t="s">
        <v>1212</v>
      </c>
      <c r="B149" s="28" t="s">
        <v>919</v>
      </c>
      <c r="C149" s="28" t="s">
        <v>161</v>
      </c>
      <c r="D149" s="28" t="s">
        <v>1191</v>
      </c>
      <c r="E149" s="28" t="s">
        <v>1192</v>
      </c>
      <c r="F149" s="32" t="n">
        <v>8300</v>
      </c>
      <c r="G149" s="28" t="s">
        <v>108</v>
      </c>
      <c r="H149" s="28" t="s">
        <v>1117</v>
      </c>
      <c r="I149" s="28" t="s">
        <v>881</v>
      </c>
      <c r="J149" s="28" t="s">
        <v>881</v>
      </c>
      <c r="K149" s="28" t="s">
        <v>1118</v>
      </c>
      <c r="L149" s="28" t="s">
        <v>899</v>
      </c>
      <c r="M149" s="28" t="s">
        <v>1103</v>
      </c>
      <c r="N149" s="28"/>
      <c r="O149" s="28"/>
      <c r="P149" s="28"/>
    </row>
    <row r="150" customFormat="false" ht="15" hidden="false" customHeight="false" outlineLevel="0" collapsed="false">
      <c r="A150" s="28" t="s">
        <v>1213</v>
      </c>
      <c r="B150" s="28" t="s">
        <v>919</v>
      </c>
      <c r="C150" s="28" t="s">
        <v>161</v>
      </c>
      <c r="D150" s="28" t="s">
        <v>1191</v>
      </c>
      <c r="E150" s="28" t="s">
        <v>1192</v>
      </c>
      <c r="F150" s="32" t="n">
        <v>8300</v>
      </c>
      <c r="G150" s="28" t="s">
        <v>108</v>
      </c>
      <c r="H150" s="28" t="s">
        <v>1139</v>
      </c>
      <c r="I150" s="28" t="s">
        <v>889</v>
      </c>
      <c r="J150" s="28" t="s">
        <v>889</v>
      </c>
      <c r="K150" s="28" t="s">
        <v>1140</v>
      </c>
      <c r="L150" s="28" t="s">
        <v>899</v>
      </c>
      <c r="M150" s="28" t="s">
        <v>1103</v>
      </c>
      <c r="N150" s="28"/>
      <c r="O150" s="28"/>
      <c r="P150" s="28"/>
    </row>
    <row r="151" customFormat="false" ht="15" hidden="false" customHeight="false" outlineLevel="0" collapsed="false">
      <c r="A151" s="28" t="s">
        <v>1214</v>
      </c>
      <c r="B151" s="28" t="s">
        <v>919</v>
      </c>
      <c r="C151" s="28" t="s">
        <v>161</v>
      </c>
      <c r="D151" s="28" t="s">
        <v>1191</v>
      </c>
      <c r="E151" s="28" t="s">
        <v>1192</v>
      </c>
      <c r="F151" s="32" t="n">
        <v>8300</v>
      </c>
      <c r="G151" s="28" t="s">
        <v>108</v>
      </c>
      <c r="H151" s="28" t="s">
        <v>1153</v>
      </c>
      <c r="I151" s="28" t="s">
        <v>1101</v>
      </c>
      <c r="J151" s="28" t="s">
        <v>1101</v>
      </c>
      <c r="K151" s="28" t="s">
        <v>1154</v>
      </c>
      <c r="L151" s="28" t="s">
        <v>899</v>
      </c>
      <c r="M151" s="28" t="s">
        <v>1103</v>
      </c>
      <c r="N151" s="28"/>
      <c r="O151" s="28"/>
      <c r="P151" s="28"/>
    </row>
    <row r="152" customFormat="false" ht="15" hidden="false" customHeight="false" outlineLevel="0" collapsed="false">
      <c r="A152" s="28" t="s">
        <v>1215</v>
      </c>
      <c r="B152" s="28" t="s">
        <v>919</v>
      </c>
      <c r="C152" s="28" t="s">
        <v>161</v>
      </c>
      <c r="D152" s="28" t="s">
        <v>1216</v>
      </c>
      <c r="E152" s="28" t="s">
        <v>1217</v>
      </c>
      <c r="F152" s="32" t="n">
        <v>375</v>
      </c>
      <c r="G152" s="28" t="s">
        <v>108</v>
      </c>
      <c r="H152" s="28" t="s">
        <v>1218</v>
      </c>
      <c r="I152" s="28" t="s">
        <v>1017</v>
      </c>
      <c r="J152" s="28" t="s">
        <v>1017</v>
      </c>
      <c r="K152" s="28" t="s">
        <v>1219</v>
      </c>
      <c r="L152" s="28" t="s">
        <v>899</v>
      </c>
      <c r="M152" s="28" t="s">
        <v>1220</v>
      </c>
      <c r="N152" s="28"/>
      <c r="O152" s="28"/>
      <c r="P152" s="28"/>
    </row>
    <row r="153" customFormat="false" ht="15" hidden="false" customHeight="false" outlineLevel="0" collapsed="false">
      <c r="A153" s="28" t="s">
        <v>1221</v>
      </c>
      <c r="B153" s="28" t="s">
        <v>886</v>
      </c>
      <c r="C153" s="28" t="s">
        <v>887</v>
      </c>
      <c r="D153" s="28" t="s">
        <v>1216</v>
      </c>
      <c r="E153" s="28" t="s">
        <v>1217</v>
      </c>
      <c r="F153" s="32" t="n">
        <v>150</v>
      </c>
      <c r="G153" s="28" t="s">
        <v>108</v>
      </c>
      <c r="H153" s="28" t="s">
        <v>1222</v>
      </c>
      <c r="I153" s="28" t="s">
        <v>910</v>
      </c>
      <c r="J153" s="28" t="s">
        <v>910</v>
      </c>
      <c r="K153" s="28" t="s">
        <v>1223</v>
      </c>
      <c r="L153" s="28" t="s">
        <v>899</v>
      </c>
      <c r="M153" s="28" t="s">
        <v>1220</v>
      </c>
      <c r="N153" s="28"/>
      <c r="O153" s="28"/>
      <c r="P153" s="28"/>
    </row>
    <row r="154" customFormat="false" ht="15" hidden="false" customHeight="false" outlineLevel="0" collapsed="false">
      <c r="A154" s="28" t="s">
        <v>1224</v>
      </c>
      <c r="B154" s="28" t="s">
        <v>915</v>
      </c>
      <c r="C154" s="28" t="s">
        <v>916</v>
      </c>
      <c r="D154" s="28" t="s">
        <v>1216</v>
      </c>
      <c r="E154" s="28" t="s">
        <v>1217</v>
      </c>
      <c r="F154" s="32" t="n">
        <v>75</v>
      </c>
      <c r="G154" s="28" t="s">
        <v>108</v>
      </c>
      <c r="H154" s="28" t="s">
        <v>1222</v>
      </c>
      <c r="I154" s="28" t="s">
        <v>910</v>
      </c>
      <c r="J154" s="28" t="s">
        <v>910</v>
      </c>
      <c r="K154" s="28" t="s">
        <v>1223</v>
      </c>
      <c r="L154" s="28" t="s">
        <v>899</v>
      </c>
      <c r="M154" s="28" t="s">
        <v>1220</v>
      </c>
      <c r="N154" s="28"/>
      <c r="O154" s="28"/>
      <c r="P154" s="28"/>
    </row>
    <row r="155" customFormat="false" ht="15" hidden="false" customHeight="false" outlineLevel="0" collapsed="false">
      <c r="A155" s="28" t="s">
        <v>1225</v>
      </c>
      <c r="B155" s="28" t="s">
        <v>915</v>
      </c>
      <c r="C155" s="28" t="s">
        <v>916</v>
      </c>
      <c r="D155" s="28" t="s">
        <v>1216</v>
      </c>
      <c r="E155" s="28" t="s">
        <v>1217</v>
      </c>
      <c r="F155" s="32" t="n">
        <v>75</v>
      </c>
      <c r="G155" s="28" t="s">
        <v>108</v>
      </c>
      <c r="H155" s="28" t="s">
        <v>1218</v>
      </c>
      <c r="I155" s="28" t="s">
        <v>1017</v>
      </c>
      <c r="J155" s="28" t="s">
        <v>1017</v>
      </c>
      <c r="K155" s="28" t="s">
        <v>1219</v>
      </c>
      <c r="L155" s="28" t="s">
        <v>899</v>
      </c>
      <c r="M155" s="28" t="s">
        <v>1220</v>
      </c>
      <c r="N155" s="28"/>
      <c r="O155" s="28"/>
      <c r="P155" s="28"/>
    </row>
    <row r="156" customFormat="false" ht="15" hidden="false" customHeight="false" outlineLevel="0" collapsed="false">
      <c r="A156" s="28" t="s">
        <v>1226</v>
      </c>
      <c r="B156" s="28" t="s">
        <v>919</v>
      </c>
      <c r="C156" s="28" t="s">
        <v>161</v>
      </c>
      <c r="D156" s="28" t="s">
        <v>1216</v>
      </c>
      <c r="E156" s="28" t="s">
        <v>1217</v>
      </c>
      <c r="F156" s="32" t="n">
        <v>375</v>
      </c>
      <c r="G156" s="28" t="s">
        <v>108</v>
      </c>
      <c r="H156" s="28" t="s">
        <v>1222</v>
      </c>
      <c r="I156" s="28" t="s">
        <v>910</v>
      </c>
      <c r="J156" s="28" t="s">
        <v>910</v>
      </c>
      <c r="K156" s="28" t="s">
        <v>1223</v>
      </c>
      <c r="L156" s="28" t="s">
        <v>899</v>
      </c>
      <c r="M156" s="28" t="s">
        <v>1220</v>
      </c>
      <c r="N156" s="28"/>
      <c r="O156" s="28"/>
      <c r="P156" s="28"/>
    </row>
    <row r="157" customFormat="false" ht="15" hidden="false" customHeight="false" outlineLevel="0" collapsed="false">
      <c r="A157" s="28" t="s">
        <v>1227</v>
      </c>
      <c r="B157" s="28" t="s">
        <v>877</v>
      </c>
      <c r="C157" s="28" t="s">
        <v>104</v>
      </c>
      <c r="D157" s="28" t="s">
        <v>1216</v>
      </c>
      <c r="E157" s="28" t="s">
        <v>1217</v>
      </c>
      <c r="F157" s="32" t="n">
        <v>225</v>
      </c>
      <c r="G157" s="28" t="s">
        <v>108</v>
      </c>
      <c r="H157" s="28" t="s">
        <v>1222</v>
      </c>
      <c r="I157" s="28" t="s">
        <v>910</v>
      </c>
      <c r="J157" s="28" t="s">
        <v>910</v>
      </c>
      <c r="K157" s="28" t="s">
        <v>1223</v>
      </c>
      <c r="L157" s="28" t="s">
        <v>899</v>
      </c>
      <c r="M157" s="28" t="s">
        <v>1220</v>
      </c>
      <c r="N157" s="28"/>
      <c r="O157" s="28"/>
      <c r="P157" s="28"/>
    </row>
    <row r="158" customFormat="false" ht="15" hidden="false" customHeight="false" outlineLevel="0" collapsed="false">
      <c r="A158" s="28" t="s">
        <v>1228</v>
      </c>
      <c r="B158" s="28" t="s">
        <v>877</v>
      </c>
      <c r="C158" s="28" t="s">
        <v>104</v>
      </c>
      <c r="D158" s="28" t="s">
        <v>1216</v>
      </c>
      <c r="E158" s="28" t="s">
        <v>1217</v>
      </c>
      <c r="F158" s="32" t="n">
        <v>225</v>
      </c>
      <c r="G158" s="28" t="s">
        <v>108</v>
      </c>
      <c r="H158" s="28" t="s">
        <v>1218</v>
      </c>
      <c r="I158" s="28" t="s">
        <v>1017</v>
      </c>
      <c r="J158" s="28" t="s">
        <v>1017</v>
      </c>
      <c r="K158" s="28" t="s">
        <v>1219</v>
      </c>
      <c r="L158" s="28" t="s">
        <v>899</v>
      </c>
      <c r="M158" s="28" t="s">
        <v>1220</v>
      </c>
      <c r="N158" s="28"/>
      <c r="O158" s="28"/>
      <c r="P158" s="28"/>
    </row>
    <row r="159" customFormat="false" ht="15" hidden="false" customHeight="false" outlineLevel="0" collapsed="false">
      <c r="A159" s="28" t="s">
        <v>1229</v>
      </c>
      <c r="B159" s="28" t="s">
        <v>923</v>
      </c>
      <c r="C159" s="28" t="s">
        <v>924</v>
      </c>
      <c r="D159" s="28" t="s">
        <v>1216</v>
      </c>
      <c r="E159" s="28" t="s">
        <v>1217</v>
      </c>
      <c r="F159" s="32" t="n">
        <v>375</v>
      </c>
      <c r="G159" s="28" t="s">
        <v>108</v>
      </c>
      <c r="H159" s="28" t="s">
        <v>1218</v>
      </c>
      <c r="I159" s="28" t="s">
        <v>1017</v>
      </c>
      <c r="J159" s="28" t="s">
        <v>1017</v>
      </c>
      <c r="K159" s="28" t="s">
        <v>1219</v>
      </c>
      <c r="L159" s="28" t="s">
        <v>899</v>
      </c>
      <c r="M159" s="28" t="s">
        <v>1220</v>
      </c>
      <c r="N159" s="28"/>
      <c r="O159" s="28"/>
      <c r="P159" s="28"/>
    </row>
    <row r="160" customFormat="false" ht="15" hidden="false" customHeight="false" outlineLevel="0" collapsed="false">
      <c r="A160" s="28" t="s">
        <v>1230</v>
      </c>
      <c r="B160" s="28" t="s">
        <v>923</v>
      </c>
      <c r="C160" s="28" t="s">
        <v>924</v>
      </c>
      <c r="D160" s="28" t="s">
        <v>1216</v>
      </c>
      <c r="E160" s="28" t="s">
        <v>1217</v>
      </c>
      <c r="F160" s="32" t="n">
        <v>375</v>
      </c>
      <c r="G160" s="28" t="s">
        <v>108</v>
      </c>
      <c r="H160" s="28" t="s">
        <v>1222</v>
      </c>
      <c r="I160" s="28" t="s">
        <v>910</v>
      </c>
      <c r="J160" s="28" t="s">
        <v>910</v>
      </c>
      <c r="K160" s="28" t="s">
        <v>1223</v>
      </c>
      <c r="L160" s="28" t="s">
        <v>899</v>
      </c>
      <c r="M160" s="28" t="s">
        <v>1220</v>
      </c>
      <c r="N160" s="28"/>
      <c r="O160" s="28"/>
      <c r="P160" s="28"/>
    </row>
    <row r="161" customFormat="false" ht="15" hidden="false" customHeight="false" outlineLevel="0" collapsed="false">
      <c r="A161" s="28" t="s">
        <v>1231</v>
      </c>
      <c r="B161" s="28" t="s">
        <v>905</v>
      </c>
      <c r="C161" s="28" t="s">
        <v>906</v>
      </c>
      <c r="D161" s="28" t="s">
        <v>1216</v>
      </c>
      <c r="E161" s="28" t="s">
        <v>1217</v>
      </c>
      <c r="F161" s="32" t="n">
        <v>75</v>
      </c>
      <c r="G161" s="28" t="s">
        <v>108</v>
      </c>
      <c r="H161" s="28" t="s">
        <v>1218</v>
      </c>
      <c r="I161" s="28" t="s">
        <v>1017</v>
      </c>
      <c r="J161" s="28" t="s">
        <v>1017</v>
      </c>
      <c r="K161" s="28" t="s">
        <v>1219</v>
      </c>
      <c r="L161" s="28" t="s">
        <v>899</v>
      </c>
      <c r="M161" s="28" t="s">
        <v>1220</v>
      </c>
      <c r="N161" s="28"/>
      <c r="O161" s="28"/>
      <c r="P161" s="28"/>
    </row>
    <row r="162" customFormat="false" ht="15" hidden="false" customHeight="false" outlineLevel="0" collapsed="false">
      <c r="A162" s="28" t="s">
        <v>1232</v>
      </c>
      <c r="B162" s="28" t="s">
        <v>886</v>
      </c>
      <c r="C162" s="28" t="s">
        <v>887</v>
      </c>
      <c r="D162" s="28" t="s">
        <v>1216</v>
      </c>
      <c r="E162" s="28" t="s">
        <v>1217</v>
      </c>
      <c r="F162" s="32" t="n">
        <v>150</v>
      </c>
      <c r="G162" s="28" t="s">
        <v>108</v>
      </c>
      <c r="H162" s="28" t="s">
        <v>1218</v>
      </c>
      <c r="I162" s="28" t="s">
        <v>1017</v>
      </c>
      <c r="J162" s="28" t="s">
        <v>1017</v>
      </c>
      <c r="K162" s="28" t="s">
        <v>1219</v>
      </c>
      <c r="L162" s="28" t="s">
        <v>899</v>
      </c>
      <c r="M162" s="28" t="s">
        <v>1220</v>
      </c>
      <c r="N162" s="28"/>
      <c r="O162" s="28"/>
      <c r="P162" s="28"/>
    </row>
    <row r="163" customFormat="false" ht="15" hidden="false" customHeight="false" outlineLevel="0" collapsed="false">
      <c r="A163" s="28" t="s">
        <v>1233</v>
      </c>
      <c r="B163" s="28" t="s">
        <v>905</v>
      </c>
      <c r="C163" s="28" t="s">
        <v>906</v>
      </c>
      <c r="D163" s="28" t="s">
        <v>1216</v>
      </c>
      <c r="E163" s="28" t="s">
        <v>1217</v>
      </c>
      <c r="F163" s="32" t="n">
        <v>75</v>
      </c>
      <c r="G163" s="28" t="s">
        <v>108</v>
      </c>
      <c r="H163" s="28" t="s">
        <v>1222</v>
      </c>
      <c r="I163" s="28" t="s">
        <v>910</v>
      </c>
      <c r="J163" s="28" t="s">
        <v>910</v>
      </c>
      <c r="K163" s="28" t="s">
        <v>1223</v>
      </c>
      <c r="L163" s="28" t="s">
        <v>899</v>
      </c>
      <c r="M163" s="28" t="s">
        <v>1220</v>
      </c>
      <c r="N163" s="28"/>
      <c r="O163" s="28"/>
      <c r="P163" s="28"/>
    </row>
    <row r="164" customFormat="false" ht="15" hidden="false" customHeight="false" outlineLevel="0" collapsed="false">
      <c r="A164" s="28" t="s">
        <v>1234</v>
      </c>
      <c r="B164" s="28" t="s">
        <v>877</v>
      </c>
      <c r="C164" s="28" t="s">
        <v>104</v>
      </c>
      <c r="D164" s="28" t="s">
        <v>1235</v>
      </c>
      <c r="E164" s="28" t="s">
        <v>1236</v>
      </c>
      <c r="F164" s="32" t="n">
        <v>9454.55</v>
      </c>
      <c r="G164" s="28" t="s">
        <v>108</v>
      </c>
      <c r="H164" s="28" t="s">
        <v>1237</v>
      </c>
      <c r="I164" s="28" t="s">
        <v>1238</v>
      </c>
      <c r="J164" s="28" t="s">
        <v>1238</v>
      </c>
      <c r="K164" s="28" t="s">
        <v>1239</v>
      </c>
      <c r="L164" s="28" t="s">
        <v>899</v>
      </c>
      <c r="M164" s="28" t="s">
        <v>1240</v>
      </c>
      <c r="N164" s="28"/>
      <c r="O164" s="28"/>
      <c r="P164" s="28"/>
    </row>
    <row r="165" customFormat="false" ht="15" hidden="false" customHeight="false" outlineLevel="0" collapsed="false">
      <c r="A165" s="28" t="s">
        <v>1241</v>
      </c>
      <c r="B165" s="28" t="s">
        <v>877</v>
      </c>
      <c r="C165" s="28" t="s">
        <v>104</v>
      </c>
      <c r="D165" s="28" t="s">
        <v>1235</v>
      </c>
      <c r="E165" s="28" t="s">
        <v>1236</v>
      </c>
      <c r="F165" s="32" t="n">
        <v>9454.55</v>
      </c>
      <c r="G165" s="28" t="s">
        <v>108</v>
      </c>
      <c r="H165" s="28" t="s">
        <v>1242</v>
      </c>
      <c r="I165" s="28" t="s">
        <v>1238</v>
      </c>
      <c r="J165" s="28" t="s">
        <v>1238</v>
      </c>
      <c r="K165" s="28" t="s">
        <v>1243</v>
      </c>
      <c r="L165" s="28" t="s">
        <v>899</v>
      </c>
      <c r="M165" s="28" t="s">
        <v>1240</v>
      </c>
      <c r="N165" s="28"/>
      <c r="O165" s="28"/>
      <c r="P165" s="28"/>
    </row>
    <row r="166" customFormat="false" ht="15" hidden="false" customHeight="false" outlineLevel="0" collapsed="false">
      <c r="A166" s="28" t="s">
        <v>1244</v>
      </c>
      <c r="B166" s="28" t="s">
        <v>923</v>
      </c>
      <c r="C166" s="28" t="s">
        <v>924</v>
      </c>
      <c r="D166" s="28" t="s">
        <v>1245</v>
      </c>
      <c r="E166" s="28" t="s">
        <v>1246</v>
      </c>
      <c r="F166" s="32" t="n">
        <v>531.79</v>
      </c>
      <c r="G166" s="28" t="s">
        <v>108</v>
      </c>
      <c r="H166" s="28" t="s">
        <v>1247</v>
      </c>
      <c r="I166" s="28" t="s">
        <v>1238</v>
      </c>
      <c r="J166" s="28" t="s">
        <v>1238</v>
      </c>
      <c r="K166" s="28" t="s">
        <v>1248</v>
      </c>
      <c r="L166" s="28" t="s">
        <v>1006</v>
      </c>
      <c r="M166" s="28"/>
      <c r="N166" s="28"/>
      <c r="O166" s="28"/>
      <c r="P166" s="28"/>
    </row>
    <row r="167" customFormat="false" ht="15" hidden="false" customHeight="false" outlineLevel="0" collapsed="false">
      <c r="A167" s="28" t="s">
        <v>1249</v>
      </c>
      <c r="B167" s="28" t="s">
        <v>919</v>
      </c>
      <c r="C167" s="28" t="s">
        <v>161</v>
      </c>
      <c r="D167" s="28" t="s">
        <v>1245</v>
      </c>
      <c r="E167" s="28" t="s">
        <v>1246</v>
      </c>
      <c r="F167" s="32" t="n">
        <v>64</v>
      </c>
      <c r="G167" s="28" t="s">
        <v>108</v>
      </c>
      <c r="H167" s="28" t="s">
        <v>1048</v>
      </c>
      <c r="I167" s="28" t="s">
        <v>1049</v>
      </c>
      <c r="J167" s="28" t="s">
        <v>1049</v>
      </c>
      <c r="K167" s="28" t="s">
        <v>1248</v>
      </c>
      <c r="L167" s="28" t="s">
        <v>1006</v>
      </c>
      <c r="M167" s="28"/>
      <c r="N167" s="28"/>
      <c r="O167" s="28"/>
      <c r="P167" s="28"/>
    </row>
    <row r="168" customFormat="false" ht="15" hidden="false" customHeight="false" outlineLevel="0" collapsed="false">
      <c r="A168" s="28" t="s">
        <v>1250</v>
      </c>
      <c r="B168" s="28" t="s">
        <v>877</v>
      </c>
      <c r="C168" s="28" t="s">
        <v>104</v>
      </c>
      <c r="D168" s="28" t="s">
        <v>1245</v>
      </c>
      <c r="E168" s="28" t="s">
        <v>1246</v>
      </c>
      <c r="F168" s="32" t="n">
        <v>655.98</v>
      </c>
      <c r="G168" s="28" t="s">
        <v>108</v>
      </c>
      <c r="H168" s="28" t="s">
        <v>1251</v>
      </c>
      <c r="I168" s="28" t="s">
        <v>889</v>
      </c>
      <c r="J168" s="28" t="s">
        <v>889</v>
      </c>
      <c r="K168" s="28" t="s">
        <v>1252</v>
      </c>
      <c r="L168" s="28" t="s">
        <v>899</v>
      </c>
      <c r="M168" s="28" t="s">
        <v>1253</v>
      </c>
      <c r="N168" s="28"/>
      <c r="O168" s="28"/>
      <c r="P168" s="28"/>
    </row>
    <row r="169" customFormat="false" ht="15" hidden="false" customHeight="false" outlineLevel="0" collapsed="false">
      <c r="A169" s="28" t="s">
        <v>1254</v>
      </c>
      <c r="B169" s="28" t="s">
        <v>877</v>
      </c>
      <c r="C169" s="28" t="s">
        <v>104</v>
      </c>
      <c r="D169" s="28" t="s">
        <v>1245</v>
      </c>
      <c r="E169" s="28" t="s">
        <v>1246</v>
      </c>
      <c r="F169" s="32" t="n">
        <v>157.33</v>
      </c>
      <c r="G169" s="28" t="s">
        <v>108</v>
      </c>
      <c r="H169" s="28" t="s">
        <v>1255</v>
      </c>
      <c r="I169" s="28" t="s">
        <v>881</v>
      </c>
      <c r="J169" s="28" t="s">
        <v>881</v>
      </c>
      <c r="K169" s="28" t="s">
        <v>1256</v>
      </c>
      <c r="L169" s="28" t="s">
        <v>899</v>
      </c>
      <c r="M169" s="28" t="s">
        <v>1253</v>
      </c>
      <c r="N169" s="28"/>
      <c r="O169" s="28"/>
      <c r="P169" s="28"/>
    </row>
    <row r="170" customFormat="false" ht="15" hidden="false" customHeight="false" outlineLevel="0" collapsed="false">
      <c r="A170" s="28" t="s">
        <v>1257</v>
      </c>
      <c r="B170" s="28" t="s">
        <v>886</v>
      </c>
      <c r="C170" s="28" t="s">
        <v>887</v>
      </c>
      <c r="D170" s="28" t="s">
        <v>1245</v>
      </c>
      <c r="E170" s="28" t="s">
        <v>1246</v>
      </c>
      <c r="F170" s="32" t="n">
        <v>85.66</v>
      </c>
      <c r="G170" s="28" t="s">
        <v>108</v>
      </c>
      <c r="H170" s="28" t="s">
        <v>1025</v>
      </c>
      <c r="I170" s="28" t="s">
        <v>1026</v>
      </c>
      <c r="J170" s="28" t="s">
        <v>1026</v>
      </c>
      <c r="K170" s="28" t="s">
        <v>1248</v>
      </c>
      <c r="L170" s="28" t="s">
        <v>1006</v>
      </c>
      <c r="M170" s="28"/>
      <c r="N170" s="28"/>
      <c r="O170" s="28"/>
      <c r="P170" s="28"/>
    </row>
    <row r="171" customFormat="false" ht="15" hidden="false" customHeight="false" outlineLevel="0" collapsed="false">
      <c r="A171" s="28" t="s">
        <v>1258</v>
      </c>
      <c r="B171" s="28" t="s">
        <v>923</v>
      </c>
      <c r="C171" s="28" t="s">
        <v>924</v>
      </c>
      <c r="D171" s="28" t="s">
        <v>1245</v>
      </c>
      <c r="E171" s="28" t="s">
        <v>1246</v>
      </c>
      <c r="F171" s="32" t="n">
        <v>64</v>
      </c>
      <c r="G171" s="28" t="s">
        <v>108</v>
      </c>
      <c r="H171" s="28" t="s">
        <v>1259</v>
      </c>
      <c r="I171" s="28" t="s">
        <v>1260</v>
      </c>
      <c r="J171" s="28" t="s">
        <v>1260</v>
      </c>
      <c r="K171" s="28" t="s">
        <v>1248</v>
      </c>
      <c r="L171" s="28" t="s">
        <v>1006</v>
      </c>
      <c r="M171" s="28"/>
      <c r="N171" s="28"/>
      <c r="O171" s="28"/>
      <c r="P171" s="28"/>
    </row>
    <row r="172" customFormat="false" ht="15" hidden="false" customHeight="false" outlineLevel="0" collapsed="false">
      <c r="A172" s="28" t="s">
        <v>1261</v>
      </c>
      <c r="B172" s="28" t="s">
        <v>877</v>
      </c>
      <c r="C172" s="28" t="s">
        <v>104</v>
      </c>
      <c r="D172" s="28" t="s">
        <v>1245</v>
      </c>
      <c r="E172" s="28" t="s">
        <v>1246</v>
      </c>
      <c r="F172" s="32" t="n">
        <v>633.95</v>
      </c>
      <c r="G172" s="28" t="s">
        <v>108</v>
      </c>
      <c r="H172" s="28" t="s">
        <v>1262</v>
      </c>
      <c r="I172" s="28" t="s">
        <v>1049</v>
      </c>
      <c r="J172" s="28" t="s">
        <v>1049</v>
      </c>
      <c r="K172" s="28" t="s">
        <v>1263</v>
      </c>
      <c r="L172" s="28" t="s">
        <v>899</v>
      </c>
      <c r="M172" s="28" t="s">
        <v>1253</v>
      </c>
      <c r="N172" s="28"/>
      <c r="O172" s="28"/>
      <c r="P172" s="28"/>
    </row>
    <row r="173" customFormat="false" ht="15" hidden="false" customHeight="false" outlineLevel="0" collapsed="false">
      <c r="A173" s="28" t="s">
        <v>1264</v>
      </c>
      <c r="B173" s="28" t="s">
        <v>877</v>
      </c>
      <c r="C173" s="28" t="s">
        <v>104</v>
      </c>
      <c r="D173" s="28" t="s">
        <v>1245</v>
      </c>
      <c r="E173" s="28" t="s">
        <v>1246</v>
      </c>
      <c r="F173" s="32" t="n">
        <v>-157.33</v>
      </c>
      <c r="G173" s="28" t="s">
        <v>108</v>
      </c>
      <c r="H173" s="28" t="s">
        <v>1265</v>
      </c>
      <c r="I173" s="28" t="s">
        <v>881</v>
      </c>
      <c r="J173" s="28" t="s">
        <v>881</v>
      </c>
      <c r="K173" s="28" t="s">
        <v>1256</v>
      </c>
      <c r="L173" s="28" t="s">
        <v>899</v>
      </c>
      <c r="M173" s="28" t="s">
        <v>1253</v>
      </c>
      <c r="N173" s="28"/>
      <c r="O173" s="28"/>
      <c r="P173" s="28"/>
    </row>
    <row r="174" customFormat="false" ht="15" hidden="false" customHeight="false" outlineLevel="0" collapsed="false">
      <c r="A174" s="28" t="s">
        <v>1266</v>
      </c>
      <c r="B174" s="28" t="s">
        <v>923</v>
      </c>
      <c r="C174" s="28" t="s">
        <v>924</v>
      </c>
      <c r="D174" s="28" t="s">
        <v>1245</v>
      </c>
      <c r="E174" s="28" t="s">
        <v>1246</v>
      </c>
      <c r="F174" s="32" t="n">
        <v>206.57</v>
      </c>
      <c r="G174" s="28" t="s">
        <v>108</v>
      </c>
      <c r="H174" s="28" t="s">
        <v>1013</v>
      </c>
      <c r="I174" s="28" t="s">
        <v>982</v>
      </c>
      <c r="J174" s="28" t="s">
        <v>982</v>
      </c>
      <c r="K174" s="28" t="s">
        <v>1248</v>
      </c>
      <c r="L174" s="28" t="s">
        <v>1014</v>
      </c>
      <c r="M174" s="28"/>
      <c r="N174" s="28"/>
      <c r="O174" s="28"/>
      <c r="P174" s="28"/>
    </row>
    <row r="175" customFormat="false" ht="15" hidden="false" customHeight="false" outlineLevel="0" collapsed="false">
      <c r="A175" s="28" t="s">
        <v>1267</v>
      </c>
      <c r="B175" s="28" t="s">
        <v>877</v>
      </c>
      <c r="C175" s="28" t="s">
        <v>104</v>
      </c>
      <c r="D175" s="28" t="s">
        <v>1245</v>
      </c>
      <c r="E175" s="28" t="s">
        <v>1246</v>
      </c>
      <c r="F175" s="32" t="n">
        <v>642.32</v>
      </c>
      <c r="G175" s="28" t="s">
        <v>108</v>
      </c>
      <c r="H175" s="28" t="s">
        <v>1268</v>
      </c>
      <c r="I175" s="28" t="s">
        <v>881</v>
      </c>
      <c r="J175" s="28" t="s">
        <v>881</v>
      </c>
      <c r="K175" s="28" t="s">
        <v>1269</v>
      </c>
      <c r="L175" s="28" t="s">
        <v>899</v>
      </c>
      <c r="M175" s="28" t="s">
        <v>1253</v>
      </c>
      <c r="N175" s="28"/>
      <c r="O175" s="28"/>
      <c r="P175" s="28"/>
    </row>
    <row r="176" customFormat="false" ht="15" hidden="false" customHeight="false" outlineLevel="0" collapsed="false">
      <c r="A176" s="28" t="s">
        <v>1270</v>
      </c>
      <c r="B176" s="28" t="s">
        <v>877</v>
      </c>
      <c r="C176" s="28" t="s">
        <v>104</v>
      </c>
      <c r="D176" s="28" t="s">
        <v>1271</v>
      </c>
      <c r="E176" s="28" t="s">
        <v>1272</v>
      </c>
      <c r="F176" s="32" t="n">
        <v>27944.54</v>
      </c>
      <c r="G176" s="28" t="s">
        <v>108</v>
      </c>
      <c r="H176" s="28" t="s">
        <v>1096</v>
      </c>
      <c r="I176" s="28" t="s">
        <v>889</v>
      </c>
      <c r="J176" s="28" t="s">
        <v>889</v>
      </c>
      <c r="K176" s="28" t="s">
        <v>1273</v>
      </c>
      <c r="L176" s="28" t="s">
        <v>1058</v>
      </c>
      <c r="M176" s="28"/>
      <c r="N176" s="28"/>
      <c r="O176" s="28"/>
      <c r="P176" s="28"/>
    </row>
    <row r="177" customFormat="false" ht="15" hidden="false" customHeight="false" outlineLevel="0" collapsed="false">
      <c r="A177" s="28" t="s">
        <v>1274</v>
      </c>
      <c r="B177" s="28" t="s">
        <v>886</v>
      </c>
      <c r="C177" s="28" t="s">
        <v>887</v>
      </c>
      <c r="D177" s="28" t="s">
        <v>1275</v>
      </c>
      <c r="E177" s="28" t="s">
        <v>1276</v>
      </c>
      <c r="F177" s="32" t="n">
        <v>336.55</v>
      </c>
      <c r="G177" s="28" t="s">
        <v>108</v>
      </c>
      <c r="H177" s="28" t="s">
        <v>1277</v>
      </c>
      <c r="I177" s="28" t="s">
        <v>1278</v>
      </c>
      <c r="J177" s="28" t="s">
        <v>1278</v>
      </c>
      <c r="K177" s="28" t="s">
        <v>1279</v>
      </c>
      <c r="L177" s="28" t="s">
        <v>1006</v>
      </c>
      <c r="M177" s="28"/>
      <c r="N177" s="28"/>
      <c r="O177" s="28"/>
      <c r="P177" s="28"/>
    </row>
    <row r="178" customFormat="false" ht="15" hidden="false" customHeight="false" outlineLevel="0" collapsed="false">
      <c r="A178" s="28" t="s">
        <v>1280</v>
      </c>
      <c r="B178" s="28" t="s">
        <v>919</v>
      </c>
      <c r="C178" s="28" t="s">
        <v>161</v>
      </c>
      <c r="D178" s="28" t="s">
        <v>1275</v>
      </c>
      <c r="E178" s="28" t="s">
        <v>1276</v>
      </c>
      <c r="F178" s="32" t="n">
        <v>1065.04</v>
      </c>
      <c r="G178" s="28" t="s">
        <v>108</v>
      </c>
      <c r="H178" s="28" t="s">
        <v>1281</v>
      </c>
      <c r="I178" s="28" t="s">
        <v>1282</v>
      </c>
      <c r="J178" s="28" t="s">
        <v>1282</v>
      </c>
      <c r="K178" s="28" t="s">
        <v>1283</v>
      </c>
      <c r="L178" s="28" t="s">
        <v>1014</v>
      </c>
      <c r="M178" s="28"/>
      <c r="N178" s="28"/>
      <c r="O178" s="28"/>
      <c r="P178" s="28"/>
    </row>
    <row r="179" customFormat="false" ht="15" hidden="false" customHeight="false" outlineLevel="0" collapsed="false">
      <c r="A179" s="28" t="s">
        <v>1284</v>
      </c>
      <c r="B179" s="28" t="s">
        <v>919</v>
      </c>
      <c r="C179" s="28" t="s">
        <v>161</v>
      </c>
      <c r="D179" s="28" t="s">
        <v>1275</v>
      </c>
      <c r="E179" s="28" t="s">
        <v>1276</v>
      </c>
      <c r="F179" s="32" t="n">
        <v>361.46</v>
      </c>
      <c r="G179" s="28" t="s">
        <v>108</v>
      </c>
      <c r="H179" s="28" t="s">
        <v>1281</v>
      </c>
      <c r="I179" s="28" t="s">
        <v>1282</v>
      </c>
      <c r="J179" s="28" t="s">
        <v>1282</v>
      </c>
      <c r="K179" s="28" t="s">
        <v>1279</v>
      </c>
      <c r="L179" s="28" t="s">
        <v>1014</v>
      </c>
      <c r="M179" s="28"/>
      <c r="N179" s="28"/>
      <c r="O179" s="28"/>
      <c r="P179" s="28"/>
    </row>
    <row r="180" customFormat="false" ht="15" hidden="false" customHeight="false" outlineLevel="0" collapsed="false">
      <c r="A180" s="28" t="s">
        <v>1285</v>
      </c>
      <c r="B180" s="28" t="s">
        <v>923</v>
      </c>
      <c r="C180" s="28" t="s">
        <v>924</v>
      </c>
      <c r="D180" s="28" t="s">
        <v>1275</v>
      </c>
      <c r="E180" s="28" t="s">
        <v>1276</v>
      </c>
      <c r="F180" s="32" t="n">
        <v>487.96</v>
      </c>
      <c r="G180" s="28" t="s">
        <v>108</v>
      </c>
      <c r="H180" s="28" t="s">
        <v>1022</v>
      </c>
      <c r="I180" s="28" t="s">
        <v>1023</v>
      </c>
      <c r="J180" s="28" t="s">
        <v>1023</v>
      </c>
      <c r="K180" s="28" t="s">
        <v>1279</v>
      </c>
      <c r="L180" s="28" t="s">
        <v>1006</v>
      </c>
      <c r="M180" s="28"/>
      <c r="N180" s="28"/>
      <c r="O180" s="28"/>
      <c r="P180" s="28"/>
    </row>
    <row r="181" customFormat="false" ht="15" hidden="false" customHeight="false" outlineLevel="0" collapsed="false">
      <c r="A181" s="28" t="s">
        <v>1286</v>
      </c>
      <c r="B181" s="28" t="s">
        <v>915</v>
      </c>
      <c r="C181" s="28" t="s">
        <v>916</v>
      </c>
      <c r="D181" s="28" t="s">
        <v>1275</v>
      </c>
      <c r="E181" s="28" t="s">
        <v>1276</v>
      </c>
      <c r="F181" s="32" t="n">
        <v>264</v>
      </c>
      <c r="G181" s="28" t="s">
        <v>108</v>
      </c>
      <c r="H181" s="28" t="s">
        <v>1287</v>
      </c>
      <c r="I181" s="28" t="s">
        <v>1004</v>
      </c>
      <c r="J181" s="28" t="s">
        <v>1004</v>
      </c>
      <c r="K181" s="28" t="s">
        <v>1279</v>
      </c>
      <c r="L181" s="28" t="s">
        <v>883</v>
      </c>
      <c r="M181" s="28"/>
      <c r="N181" s="28"/>
      <c r="O181" s="28"/>
      <c r="P181" s="28"/>
    </row>
    <row r="182" customFormat="false" ht="15" hidden="false" customHeight="false" outlineLevel="0" collapsed="false">
      <c r="A182" s="28" t="s">
        <v>1288</v>
      </c>
      <c r="B182" s="28" t="s">
        <v>905</v>
      </c>
      <c r="C182" s="28" t="s">
        <v>906</v>
      </c>
      <c r="D182" s="28" t="s">
        <v>1275</v>
      </c>
      <c r="E182" s="28" t="s">
        <v>1276</v>
      </c>
      <c r="F182" s="32" t="n">
        <v>264</v>
      </c>
      <c r="G182" s="28" t="s">
        <v>108</v>
      </c>
      <c r="H182" s="28" t="s">
        <v>1287</v>
      </c>
      <c r="I182" s="28" t="s">
        <v>1004</v>
      </c>
      <c r="J182" s="28" t="s">
        <v>1004</v>
      </c>
      <c r="K182" s="28" t="s">
        <v>1279</v>
      </c>
      <c r="L182" s="28" t="s">
        <v>883</v>
      </c>
      <c r="M182" s="28"/>
      <c r="N182" s="28"/>
      <c r="O182" s="28"/>
      <c r="P182" s="28"/>
    </row>
    <row r="183" customFormat="false" ht="15" hidden="false" customHeight="false" outlineLevel="0" collapsed="false">
      <c r="A183" s="28" t="s">
        <v>1289</v>
      </c>
      <c r="B183" s="28" t="s">
        <v>923</v>
      </c>
      <c r="C183" s="28" t="s">
        <v>924</v>
      </c>
      <c r="D183" s="28" t="s">
        <v>1275</v>
      </c>
      <c r="E183" s="28" t="s">
        <v>1276</v>
      </c>
      <c r="F183" s="32" t="n">
        <v>792</v>
      </c>
      <c r="G183" s="28" t="s">
        <v>108</v>
      </c>
      <c r="H183" s="28" t="s">
        <v>1290</v>
      </c>
      <c r="I183" s="28" t="s">
        <v>1045</v>
      </c>
      <c r="J183" s="28" t="s">
        <v>1045</v>
      </c>
      <c r="K183" s="28" t="s">
        <v>1279</v>
      </c>
      <c r="L183" s="28" t="s">
        <v>883</v>
      </c>
      <c r="M183" s="28"/>
      <c r="N183" s="28"/>
      <c r="O183" s="28"/>
      <c r="P183" s="28"/>
    </row>
    <row r="184" customFormat="false" ht="15" hidden="false" customHeight="false" outlineLevel="0" collapsed="false">
      <c r="A184" s="28" t="s">
        <v>1291</v>
      </c>
      <c r="B184" s="28" t="s">
        <v>919</v>
      </c>
      <c r="C184" s="28" t="s">
        <v>161</v>
      </c>
      <c r="D184" s="28" t="s">
        <v>1275</v>
      </c>
      <c r="E184" s="28" t="s">
        <v>1276</v>
      </c>
      <c r="F184" s="32" t="n">
        <v>792</v>
      </c>
      <c r="G184" s="28" t="s">
        <v>108</v>
      </c>
      <c r="H184" s="28" t="s">
        <v>1290</v>
      </c>
      <c r="I184" s="28" t="s">
        <v>1045</v>
      </c>
      <c r="J184" s="28" t="s">
        <v>1045</v>
      </c>
      <c r="K184" s="28" t="s">
        <v>1279</v>
      </c>
      <c r="L184" s="28" t="s">
        <v>883</v>
      </c>
      <c r="M184" s="28"/>
      <c r="N184" s="28"/>
      <c r="O184" s="28"/>
      <c r="P184" s="28"/>
    </row>
    <row r="185" customFormat="false" ht="15" hidden="false" customHeight="false" outlineLevel="0" collapsed="false">
      <c r="A185" s="28" t="s">
        <v>1292</v>
      </c>
      <c r="B185" s="28" t="s">
        <v>905</v>
      </c>
      <c r="C185" s="28" t="s">
        <v>906</v>
      </c>
      <c r="D185" s="28" t="s">
        <v>1275</v>
      </c>
      <c r="E185" s="28" t="s">
        <v>1276</v>
      </c>
      <c r="F185" s="32" t="n">
        <v>176</v>
      </c>
      <c r="G185" s="28" t="s">
        <v>108</v>
      </c>
      <c r="H185" s="28" t="s">
        <v>1290</v>
      </c>
      <c r="I185" s="28" t="s">
        <v>1045</v>
      </c>
      <c r="J185" s="28" t="s">
        <v>1045</v>
      </c>
      <c r="K185" s="28" t="s">
        <v>1279</v>
      </c>
      <c r="L185" s="28" t="s">
        <v>883</v>
      </c>
      <c r="M185" s="28"/>
      <c r="N185" s="28"/>
      <c r="O185" s="28"/>
      <c r="P185" s="28"/>
    </row>
    <row r="186" customFormat="false" ht="15" hidden="false" customHeight="false" outlineLevel="0" collapsed="false">
      <c r="A186" s="28" t="s">
        <v>1293</v>
      </c>
      <c r="B186" s="28" t="s">
        <v>886</v>
      </c>
      <c r="C186" s="28" t="s">
        <v>887</v>
      </c>
      <c r="D186" s="28" t="s">
        <v>1275</v>
      </c>
      <c r="E186" s="28" t="s">
        <v>1276</v>
      </c>
      <c r="F186" s="32" t="n">
        <v>352</v>
      </c>
      <c r="G186" s="28" t="s">
        <v>108</v>
      </c>
      <c r="H186" s="28" t="s">
        <v>1290</v>
      </c>
      <c r="I186" s="28" t="s">
        <v>1045</v>
      </c>
      <c r="J186" s="28" t="s">
        <v>1045</v>
      </c>
      <c r="K186" s="28" t="s">
        <v>1279</v>
      </c>
      <c r="L186" s="28" t="s">
        <v>883</v>
      </c>
      <c r="M186" s="28"/>
      <c r="N186" s="28"/>
      <c r="O186" s="28"/>
      <c r="P186" s="28"/>
    </row>
    <row r="187" customFormat="false" ht="15" hidden="false" customHeight="false" outlineLevel="0" collapsed="false">
      <c r="A187" s="28" t="s">
        <v>1294</v>
      </c>
      <c r="B187" s="28" t="s">
        <v>919</v>
      </c>
      <c r="C187" s="28" t="s">
        <v>161</v>
      </c>
      <c r="D187" s="28" t="s">
        <v>1275</v>
      </c>
      <c r="E187" s="28" t="s">
        <v>1276</v>
      </c>
      <c r="F187" s="32" t="n">
        <v>792</v>
      </c>
      <c r="G187" s="28" t="s">
        <v>108</v>
      </c>
      <c r="H187" s="28" t="s">
        <v>1287</v>
      </c>
      <c r="I187" s="28" t="s">
        <v>1004</v>
      </c>
      <c r="J187" s="28" t="s">
        <v>1004</v>
      </c>
      <c r="K187" s="28" t="s">
        <v>1279</v>
      </c>
      <c r="L187" s="28" t="s">
        <v>883</v>
      </c>
      <c r="M187" s="28"/>
      <c r="N187" s="28"/>
      <c r="O187" s="28"/>
      <c r="P187" s="28"/>
    </row>
    <row r="188" customFormat="false" ht="15" hidden="false" customHeight="false" outlineLevel="0" collapsed="false">
      <c r="A188" s="28" t="s">
        <v>1295</v>
      </c>
      <c r="B188" s="28" t="s">
        <v>886</v>
      </c>
      <c r="C188" s="28" t="s">
        <v>887</v>
      </c>
      <c r="D188" s="28" t="s">
        <v>1275</v>
      </c>
      <c r="E188" s="28" t="s">
        <v>1276</v>
      </c>
      <c r="F188" s="32" t="n">
        <v>754.59</v>
      </c>
      <c r="G188" s="28" t="s">
        <v>108</v>
      </c>
      <c r="H188" s="28" t="s">
        <v>1296</v>
      </c>
      <c r="I188" s="28" t="s">
        <v>1066</v>
      </c>
      <c r="J188" s="28" t="s">
        <v>1066</v>
      </c>
      <c r="K188" s="28" t="s">
        <v>1279</v>
      </c>
      <c r="L188" s="28" t="s">
        <v>1006</v>
      </c>
      <c r="M188" s="28"/>
      <c r="N188" s="28"/>
      <c r="O188" s="28"/>
      <c r="P188" s="28"/>
    </row>
    <row r="189" customFormat="false" ht="15" hidden="false" customHeight="false" outlineLevel="0" collapsed="false">
      <c r="A189" s="28" t="s">
        <v>1297</v>
      </c>
      <c r="B189" s="28" t="s">
        <v>915</v>
      </c>
      <c r="C189" s="28" t="s">
        <v>916</v>
      </c>
      <c r="D189" s="28" t="s">
        <v>1275</v>
      </c>
      <c r="E189" s="28" t="s">
        <v>1276</v>
      </c>
      <c r="F189" s="32" t="n">
        <v>176</v>
      </c>
      <c r="G189" s="28" t="s">
        <v>108</v>
      </c>
      <c r="H189" s="28" t="s">
        <v>1290</v>
      </c>
      <c r="I189" s="28" t="s">
        <v>1045</v>
      </c>
      <c r="J189" s="28" t="s">
        <v>1045</v>
      </c>
      <c r="K189" s="28" t="s">
        <v>1279</v>
      </c>
      <c r="L189" s="28" t="s">
        <v>883</v>
      </c>
      <c r="M189" s="28"/>
      <c r="N189" s="28"/>
      <c r="O189" s="28"/>
      <c r="P189" s="28"/>
    </row>
    <row r="190" customFormat="false" ht="15" hidden="false" customHeight="false" outlineLevel="0" collapsed="false">
      <c r="A190" s="28" t="s">
        <v>1298</v>
      </c>
      <c r="B190" s="28" t="s">
        <v>923</v>
      </c>
      <c r="C190" s="28" t="s">
        <v>924</v>
      </c>
      <c r="D190" s="28" t="s">
        <v>1275</v>
      </c>
      <c r="E190" s="28" t="s">
        <v>1276</v>
      </c>
      <c r="F190" s="32" t="n">
        <v>512.34</v>
      </c>
      <c r="G190" s="28" t="s">
        <v>108</v>
      </c>
      <c r="H190" s="28" t="s">
        <v>1299</v>
      </c>
      <c r="I190" s="28" t="s">
        <v>1101</v>
      </c>
      <c r="J190" s="28" t="s">
        <v>1101</v>
      </c>
      <c r="K190" s="28" t="s">
        <v>1279</v>
      </c>
      <c r="L190" s="28" t="s">
        <v>1006</v>
      </c>
      <c r="M190" s="28"/>
      <c r="N190" s="28"/>
      <c r="O190" s="28"/>
      <c r="P190" s="28"/>
    </row>
    <row r="191" customFormat="false" ht="15" hidden="false" customHeight="false" outlineLevel="0" collapsed="false">
      <c r="A191" s="28" t="s">
        <v>1300</v>
      </c>
      <c r="B191" s="28" t="s">
        <v>923</v>
      </c>
      <c r="C191" s="28" t="s">
        <v>924</v>
      </c>
      <c r="D191" s="28" t="s">
        <v>1275</v>
      </c>
      <c r="E191" s="28" t="s">
        <v>1276</v>
      </c>
      <c r="F191" s="32" t="n">
        <v>149.85</v>
      </c>
      <c r="G191" s="28" t="s">
        <v>108</v>
      </c>
      <c r="H191" s="28" t="s">
        <v>1011</v>
      </c>
      <c r="I191" s="28" t="s">
        <v>1004</v>
      </c>
      <c r="J191" s="28" t="s">
        <v>1004</v>
      </c>
      <c r="K191" s="28" t="s">
        <v>1279</v>
      </c>
      <c r="L191" s="28" t="s">
        <v>1006</v>
      </c>
      <c r="M191" s="28"/>
      <c r="N191" s="28"/>
      <c r="O191" s="28"/>
      <c r="P191" s="28"/>
    </row>
    <row r="192" customFormat="false" ht="15" hidden="false" customHeight="false" outlineLevel="0" collapsed="false">
      <c r="A192" s="28" t="s">
        <v>1301</v>
      </c>
      <c r="B192" s="28" t="s">
        <v>886</v>
      </c>
      <c r="C192" s="28" t="s">
        <v>887</v>
      </c>
      <c r="D192" s="28" t="s">
        <v>1275</v>
      </c>
      <c r="E192" s="28" t="s">
        <v>1276</v>
      </c>
      <c r="F192" s="32" t="n">
        <v>260.89</v>
      </c>
      <c r="G192" s="28" t="s">
        <v>108</v>
      </c>
      <c r="H192" s="28" t="s">
        <v>1025</v>
      </c>
      <c r="I192" s="28" t="s">
        <v>1026</v>
      </c>
      <c r="J192" s="28" t="s">
        <v>1026</v>
      </c>
      <c r="K192" s="28" t="s">
        <v>1283</v>
      </c>
      <c r="L192" s="28" t="s">
        <v>1006</v>
      </c>
      <c r="M192" s="28"/>
      <c r="N192" s="28"/>
      <c r="O192" s="28"/>
      <c r="P192" s="28"/>
    </row>
    <row r="193" customFormat="false" ht="15" hidden="false" customHeight="false" outlineLevel="0" collapsed="false">
      <c r="A193" s="28" t="s">
        <v>1302</v>
      </c>
      <c r="B193" s="28" t="s">
        <v>923</v>
      </c>
      <c r="C193" s="28" t="s">
        <v>924</v>
      </c>
      <c r="D193" s="28" t="s">
        <v>1275</v>
      </c>
      <c r="E193" s="28" t="s">
        <v>1276</v>
      </c>
      <c r="F193" s="32" t="n">
        <v>405.95</v>
      </c>
      <c r="G193" s="28" t="s">
        <v>108</v>
      </c>
      <c r="H193" s="28" t="s">
        <v>1013</v>
      </c>
      <c r="I193" s="28" t="s">
        <v>982</v>
      </c>
      <c r="J193" s="28" t="s">
        <v>982</v>
      </c>
      <c r="K193" s="28" t="s">
        <v>1279</v>
      </c>
      <c r="L193" s="28" t="s">
        <v>1014</v>
      </c>
      <c r="M193" s="28"/>
      <c r="N193" s="28"/>
      <c r="O193" s="28"/>
      <c r="P193" s="28"/>
    </row>
    <row r="194" customFormat="false" ht="15" hidden="false" customHeight="false" outlineLevel="0" collapsed="false">
      <c r="A194" s="28" t="s">
        <v>1303</v>
      </c>
      <c r="B194" s="28" t="s">
        <v>877</v>
      </c>
      <c r="C194" s="28" t="s">
        <v>104</v>
      </c>
      <c r="D194" s="28" t="s">
        <v>1275</v>
      </c>
      <c r="E194" s="28" t="s">
        <v>1276</v>
      </c>
      <c r="F194" s="32" t="n">
        <v>440</v>
      </c>
      <c r="G194" s="28" t="s">
        <v>108</v>
      </c>
      <c r="H194" s="28" t="s">
        <v>1287</v>
      </c>
      <c r="I194" s="28" t="s">
        <v>1004</v>
      </c>
      <c r="J194" s="28" t="s">
        <v>1004</v>
      </c>
      <c r="K194" s="28" t="s">
        <v>1279</v>
      </c>
      <c r="L194" s="28" t="s">
        <v>883</v>
      </c>
      <c r="M194" s="28"/>
      <c r="N194" s="28"/>
      <c r="O194" s="28"/>
      <c r="P194" s="28"/>
    </row>
    <row r="195" customFormat="false" ht="15" hidden="false" customHeight="false" outlineLevel="0" collapsed="false">
      <c r="A195" s="28" t="s">
        <v>1304</v>
      </c>
      <c r="B195" s="28" t="s">
        <v>886</v>
      </c>
      <c r="C195" s="28" t="s">
        <v>887</v>
      </c>
      <c r="D195" s="28" t="s">
        <v>1275</v>
      </c>
      <c r="E195" s="28" t="s">
        <v>1276</v>
      </c>
      <c r="F195" s="32" t="n">
        <v>959.35</v>
      </c>
      <c r="G195" s="28" t="s">
        <v>108</v>
      </c>
      <c r="H195" s="28" t="s">
        <v>1019</v>
      </c>
      <c r="I195" s="28" t="s">
        <v>1020</v>
      </c>
      <c r="J195" s="28" t="s">
        <v>1020</v>
      </c>
      <c r="K195" s="28" t="s">
        <v>1279</v>
      </c>
      <c r="L195" s="28" t="s">
        <v>1006</v>
      </c>
      <c r="M195" s="28"/>
      <c r="N195" s="28"/>
      <c r="O195" s="28"/>
      <c r="P195" s="28"/>
    </row>
    <row r="196" customFormat="false" ht="15" hidden="false" customHeight="false" outlineLevel="0" collapsed="false">
      <c r="A196" s="28" t="s">
        <v>1305</v>
      </c>
      <c r="B196" s="28" t="s">
        <v>886</v>
      </c>
      <c r="C196" s="28" t="s">
        <v>887</v>
      </c>
      <c r="D196" s="28" t="s">
        <v>1275</v>
      </c>
      <c r="E196" s="28" t="s">
        <v>1276</v>
      </c>
      <c r="F196" s="32" t="n">
        <v>175</v>
      </c>
      <c r="G196" s="28" t="s">
        <v>108</v>
      </c>
      <c r="H196" s="28" t="s">
        <v>1019</v>
      </c>
      <c r="I196" s="28" t="s">
        <v>1020</v>
      </c>
      <c r="J196" s="28" t="s">
        <v>1020</v>
      </c>
      <c r="K196" s="28" t="s">
        <v>1283</v>
      </c>
      <c r="L196" s="28" t="s">
        <v>1006</v>
      </c>
      <c r="M196" s="28"/>
      <c r="N196" s="28"/>
      <c r="O196" s="28"/>
      <c r="P196" s="28"/>
    </row>
    <row r="197" customFormat="false" ht="15" hidden="false" customHeight="false" outlineLevel="0" collapsed="false">
      <c r="A197" s="28" t="s">
        <v>1306</v>
      </c>
      <c r="B197" s="28" t="s">
        <v>923</v>
      </c>
      <c r="C197" s="28" t="s">
        <v>924</v>
      </c>
      <c r="D197" s="28" t="s">
        <v>1275</v>
      </c>
      <c r="E197" s="28" t="s">
        <v>1276</v>
      </c>
      <c r="F197" s="32" t="n">
        <v>792</v>
      </c>
      <c r="G197" s="28" t="s">
        <v>108</v>
      </c>
      <c r="H197" s="28" t="s">
        <v>1287</v>
      </c>
      <c r="I197" s="28" t="s">
        <v>1004</v>
      </c>
      <c r="J197" s="28" t="s">
        <v>1004</v>
      </c>
      <c r="K197" s="28" t="s">
        <v>1279</v>
      </c>
      <c r="L197" s="28" t="s">
        <v>883</v>
      </c>
      <c r="M197" s="28"/>
      <c r="N197" s="28"/>
      <c r="O197" s="28"/>
      <c r="P197" s="28"/>
    </row>
    <row r="198" customFormat="false" ht="15" hidden="false" customHeight="false" outlineLevel="0" collapsed="false">
      <c r="A198" s="28" t="s">
        <v>1307</v>
      </c>
      <c r="B198" s="28" t="s">
        <v>923</v>
      </c>
      <c r="C198" s="28" t="s">
        <v>924</v>
      </c>
      <c r="D198" s="28" t="s">
        <v>1275</v>
      </c>
      <c r="E198" s="28" t="s">
        <v>1276</v>
      </c>
      <c r="F198" s="32" t="n">
        <v>273.14</v>
      </c>
      <c r="G198" s="28" t="s">
        <v>108</v>
      </c>
      <c r="H198" s="28" t="s">
        <v>1036</v>
      </c>
      <c r="I198" s="28" t="s">
        <v>1026</v>
      </c>
      <c r="J198" s="28" t="s">
        <v>1026</v>
      </c>
      <c r="K198" s="28" t="s">
        <v>1279</v>
      </c>
      <c r="L198" s="28" t="s">
        <v>1006</v>
      </c>
      <c r="M198" s="28"/>
      <c r="N198" s="28"/>
      <c r="O198" s="28"/>
      <c r="P198" s="28"/>
    </row>
    <row r="199" customFormat="false" ht="15" hidden="false" customHeight="false" outlineLevel="0" collapsed="false">
      <c r="A199" s="28" t="s">
        <v>1308</v>
      </c>
      <c r="B199" s="28" t="s">
        <v>886</v>
      </c>
      <c r="C199" s="28" t="s">
        <v>887</v>
      </c>
      <c r="D199" s="28" t="s">
        <v>1275</v>
      </c>
      <c r="E199" s="28" t="s">
        <v>1276</v>
      </c>
      <c r="F199" s="32" t="n">
        <v>289.17</v>
      </c>
      <c r="G199" s="28" t="s">
        <v>108</v>
      </c>
      <c r="H199" s="28" t="s">
        <v>1025</v>
      </c>
      <c r="I199" s="28" t="s">
        <v>1026</v>
      </c>
      <c r="J199" s="28" t="s">
        <v>1026</v>
      </c>
      <c r="K199" s="28" t="s">
        <v>1279</v>
      </c>
      <c r="L199" s="28" t="s">
        <v>1006</v>
      </c>
      <c r="M199" s="28"/>
      <c r="N199" s="28"/>
      <c r="O199" s="28"/>
      <c r="P199" s="28"/>
    </row>
    <row r="200" customFormat="false" ht="15" hidden="false" customHeight="false" outlineLevel="0" collapsed="false">
      <c r="A200" s="28" t="s">
        <v>1309</v>
      </c>
      <c r="B200" s="28" t="s">
        <v>886</v>
      </c>
      <c r="C200" s="28" t="s">
        <v>887</v>
      </c>
      <c r="D200" s="28" t="s">
        <v>1275</v>
      </c>
      <c r="E200" s="28" t="s">
        <v>1276</v>
      </c>
      <c r="F200" s="32" t="n">
        <v>440</v>
      </c>
      <c r="G200" s="28" t="s">
        <v>108</v>
      </c>
      <c r="H200" s="28" t="s">
        <v>1287</v>
      </c>
      <c r="I200" s="28" t="s">
        <v>1004</v>
      </c>
      <c r="J200" s="28" t="s">
        <v>1004</v>
      </c>
      <c r="K200" s="28" t="s">
        <v>1279</v>
      </c>
      <c r="L200" s="28" t="s">
        <v>883</v>
      </c>
      <c r="M200" s="28"/>
      <c r="N200" s="28"/>
      <c r="O200" s="28"/>
      <c r="P200" s="28"/>
    </row>
    <row r="201" customFormat="false" ht="15" hidden="false" customHeight="false" outlineLevel="0" collapsed="false">
      <c r="A201" s="28" t="s">
        <v>1310</v>
      </c>
      <c r="B201" s="28" t="s">
        <v>877</v>
      </c>
      <c r="C201" s="28" t="s">
        <v>104</v>
      </c>
      <c r="D201" s="28" t="s">
        <v>1275</v>
      </c>
      <c r="E201" s="28" t="s">
        <v>1276</v>
      </c>
      <c r="F201" s="32" t="n">
        <v>352</v>
      </c>
      <c r="G201" s="28" t="s">
        <v>108</v>
      </c>
      <c r="H201" s="28" t="s">
        <v>1290</v>
      </c>
      <c r="I201" s="28" t="s">
        <v>1045</v>
      </c>
      <c r="J201" s="28" t="s">
        <v>1045</v>
      </c>
      <c r="K201" s="28" t="s">
        <v>1279</v>
      </c>
      <c r="L201" s="28" t="s">
        <v>883</v>
      </c>
      <c r="M201" s="28"/>
      <c r="N201" s="28"/>
      <c r="O201" s="28"/>
      <c r="P201" s="28"/>
    </row>
    <row r="202" customFormat="false" ht="15" hidden="false" customHeight="false" outlineLevel="0" collapsed="false">
      <c r="A202" s="28" t="s">
        <v>1311</v>
      </c>
      <c r="B202" s="28" t="s">
        <v>923</v>
      </c>
      <c r="C202" s="28" t="s">
        <v>924</v>
      </c>
      <c r="D202" s="28" t="s">
        <v>1275</v>
      </c>
      <c r="E202" s="28" t="s">
        <v>1276</v>
      </c>
      <c r="F202" s="32" t="n">
        <v>664.14</v>
      </c>
      <c r="G202" s="28" t="s">
        <v>108</v>
      </c>
      <c r="H202" s="28" t="s">
        <v>1312</v>
      </c>
      <c r="I202" s="28" t="s">
        <v>1087</v>
      </c>
      <c r="J202" s="28" t="s">
        <v>1087</v>
      </c>
      <c r="K202" s="28" t="s">
        <v>1279</v>
      </c>
      <c r="L202" s="28" t="s">
        <v>1006</v>
      </c>
      <c r="M202" s="28"/>
      <c r="N202" s="28"/>
      <c r="O202" s="28"/>
      <c r="P202" s="28"/>
    </row>
    <row r="203" customFormat="false" ht="15" hidden="false" customHeight="false" outlineLevel="0" collapsed="false">
      <c r="A203" s="28" t="s">
        <v>1313</v>
      </c>
      <c r="B203" s="28" t="s">
        <v>919</v>
      </c>
      <c r="C203" s="28" t="s">
        <v>161</v>
      </c>
      <c r="D203" s="28" t="s">
        <v>1314</v>
      </c>
      <c r="E203" s="28" t="s">
        <v>1315</v>
      </c>
      <c r="F203" s="32" t="n">
        <v>13417.43</v>
      </c>
      <c r="G203" s="28" t="s">
        <v>108</v>
      </c>
      <c r="H203" s="28" t="s">
        <v>1316</v>
      </c>
      <c r="I203" s="28" t="s">
        <v>1317</v>
      </c>
      <c r="J203" s="28" t="s">
        <v>1317</v>
      </c>
      <c r="K203" s="28" t="s">
        <v>1318</v>
      </c>
      <c r="L203" s="28" t="s">
        <v>899</v>
      </c>
      <c r="M203" s="28" t="s">
        <v>1319</v>
      </c>
      <c r="N203" s="28"/>
      <c r="O203" s="28"/>
      <c r="P203" s="28"/>
    </row>
    <row r="204" customFormat="false" ht="15" hidden="false" customHeight="false" outlineLevel="0" collapsed="false">
      <c r="A204" s="28" t="s">
        <v>1320</v>
      </c>
      <c r="B204" s="28" t="s">
        <v>931</v>
      </c>
      <c r="C204" s="28" t="s">
        <v>932</v>
      </c>
      <c r="D204" s="28" t="s">
        <v>1314</v>
      </c>
      <c r="E204" s="28" t="s">
        <v>1315</v>
      </c>
      <c r="F204" s="32" t="n">
        <v>15000</v>
      </c>
      <c r="G204" s="28" t="s">
        <v>108</v>
      </c>
      <c r="H204" s="28" t="s">
        <v>1321</v>
      </c>
      <c r="I204" s="28" t="s">
        <v>1049</v>
      </c>
      <c r="J204" s="28" t="s">
        <v>1049</v>
      </c>
      <c r="K204" s="28" t="s">
        <v>1322</v>
      </c>
      <c r="L204" s="28" t="s">
        <v>899</v>
      </c>
      <c r="M204" s="28" t="s">
        <v>1323</v>
      </c>
      <c r="N204" s="28"/>
      <c r="O204" s="28"/>
      <c r="P204" s="28"/>
    </row>
    <row r="205" customFormat="false" ht="15" hidden="false" customHeight="false" outlineLevel="0" collapsed="false">
      <c r="A205" s="28" t="s">
        <v>1324</v>
      </c>
      <c r="B205" s="28" t="s">
        <v>919</v>
      </c>
      <c r="C205" s="28" t="s">
        <v>161</v>
      </c>
      <c r="D205" s="28" t="s">
        <v>1314</v>
      </c>
      <c r="E205" s="28" t="s">
        <v>1315</v>
      </c>
      <c r="F205" s="32" t="n">
        <v>13417.43</v>
      </c>
      <c r="G205" s="28" t="s">
        <v>108</v>
      </c>
      <c r="H205" s="28" t="s">
        <v>1325</v>
      </c>
      <c r="I205" s="28" t="s">
        <v>1106</v>
      </c>
      <c r="J205" s="28" t="s">
        <v>881</v>
      </c>
      <c r="K205" s="28" t="s">
        <v>1326</v>
      </c>
      <c r="L205" s="28" t="s">
        <v>899</v>
      </c>
      <c r="M205" s="28" t="s">
        <v>1319</v>
      </c>
      <c r="N205" s="28"/>
      <c r="O205" s="28"/>
      <c r="P205" s="28"/>
    </row>
    <row r="206" customFormat="false" ht="15" hidden="false" customHeight="false" outlineLevel="0" collapsed="false">
      <c r="A206" s="28" t="s">
        <v>1327</v>
      </c>
      <c r="B206" s="28" t="s">
        <v>919</v>
      </c>
      <c r="C206" s="28" t="s">
        <v>161</v>
      </c>
      <c r="D206" s="28" t="s">
        <v>1314</v>
      </c>
      <c r="E206" s="28" t="s">
        <v>1315</v>
      </c>
      <c r="F206" s="32" t="n">
        <v>10890</v>
      </c>
      <c r="G206" s="28" t="s">
        <v>108</v>
      </c>
      <c r="H206" s="28" t="s">
        <v>1328</v>
      </c>
      <c r="I206" s="28" t="s">
        <v>1106</v>
      </c>
      <c r="J206" s="28" t="s">
        <v>1329</v>
      </c>
      <c r="K206" s="28" t="s">
        <v>1330</v>
      </c>
      <c r="L206" s="28" t="s">
        <v>899</v>
      </c>
      <c r="M206" s="28" t="s">
        <v>1331</v>
      </c>
      <c r="N206" s="28"/>
      <c r="O206" s="28"/>
      <c r="P206" s="28"/>
    </row>
    <row r="207" customFormat="false" ht="15" hidden="false" customHeight="false" outlineLevel="0" collapsed="false">
      <c r="A207" s="28" t="s">
        <v>1332</v>
      </c>
      <c r="B207" s="28" t="s">
        <v>919</v>
      </c>
      <c r="C207" s="28" t="s">
        <v>161</v>
      </c>
      <c r="D207" s="28" t="s">
        <v>1314</v>
      </c>
      <c r="E207" s="28" t="s">
        <v>1315</v>
      </c>
      <c r="F207" s="32" t="n">
        <v>10520</v>
      </c>
      <c r="G207" s="28" t="s">
        <v>108</v>
      </c>
      <c r="H207" s="28" t="s">
        <v>1333</v>
      </c>
      <c r="I207" s="28" t="s">
        <v>1126</v>
      </c>
      <c r="J207" s="28" t="s">
        <v>1126</v>
      </c>
      <c r="K207" s="28" t="s">
        <v>1334</v>
      </c>
      <c r="L207" s="28" t="s">
        <v>899</v>
      </c>
      <c r="M207" s="28" t="s">
        <v>1128</v>
      </c>
      <c r="N207" s="28"/>
      <c r="O207" s="28"/>
      <c r="P207" s="28"/>
    </row>
    <row r="208" customFormat="false" ht="15" hidden="false" customHeight="false" outlineLevel="0" collapsed="false">
      <c r="A208" s="28" t="s">
        <v>1335</v>
      </c>
      <c r="B208" s="28" t="s">
        <v>931</v>
      </c>
      <c r="C208" s="28" t="s">
        <v>932</v>
      </c>
      <c r="D208" s="28" t="s">
        <v>1314</v>
      </c>
      <c r="E208" s="28" t="s">
        <v>1315</v>
      </c>
      <c r="F208" s="32" t="n">
        <v>15000</v>
      </c>
      <c r="G208" s="28" t="s">
        <v>108</v>
      </c>
      <c r="H208" s="28" t="s">
        <v>1336</v>
      </c>
      <c r="I208" s="28" t="s">
        <v>1337</v>
      </c>
      <c r="J208" s="28" t="s">
        <v>1337</v>
      </c>
      <c r="K208" s="28" t="s">
        <v>1338</v>
      </c>
      <c r="L208" s="28" t="s">
        <v>899</v>
      </c>
      <c r="M208" s="28" t="s">
        <v>1323</v>
      </c>
      <c r="N208" s="28"/>
      <c r="O208" s="28"/>
      <c r="P208" s="28"/>
    </row>
    <row r="209" customFormat="false" ht="15" hidden="false" customHeight="false" outlineLevel="0" collapsed="false">
      <c r="A209" s="28" t="s">
        <v>1339</v>
      </c>
      <c r="B209" s="28" t="s">
        <v>915</v>
      </c>
      <c r="C209" s="28" t="s">
        <v>916</v>
      </c>
      <c r="D209" s="28" t="s">
        <v>1340</v>
      </c>
      <c r="E209" s="28" t="s">
        <v>1341</v>
      </c>
      <c r="F209" s="32" t="n">
        <v>178</v>
      </c>
      <c r="G209" s="28" t="s">
        <v>108</v>
      </c>
      <c r="H209" s="28" t="s">
        <v>1342</v>
      </c>
      <c r="I209" s="28" t="s">
        <v>1343</v>
      </c>
      <c r="J209" s="28" t="s">
        <v>1343</v>
      </c>
      <c r="K209" s="28" t="s">
        <v>1344</v>
      </c>
      <c r="L209" s="28" t="s">
        <v>899</v>
      </c>
      <c r="M209" s="28" t="s">
        <v>1345</v>
      </c>
      <c r="N209" s="28"/>
      <c r="O209" s="28"/>
      <c r="P209" s="28"/>
    </row>
    <row r="210" customFormat="false" ht="15" hidden="false" customHeight="false" outlineLevel="0" collapsed="false">
      <c r="A210" s="28" t="s">
        <v>1346</v>
      </c>
      <c r="B210" s="28" t="s">
        <v>923</v>
      </c>
      <c r="C210" s="28" t="s">
        <v>924</v>
      </c>
      <c r="D210" s="28" t="s">
        <v>1340</v>
      </c>
      <c r="E210" s="28" t="s">
        <v>1341</v>
      </c>
      <c r="F210" s="32" t="n">
        <v>13238.49</v>
      </c>
      <c r="G210" s="28" t="s">
        <v>108</v>
      </c>
      <c r="H210" s="28" t="s">
        <v>1347</v>
      </c>
      <c r="I210" s="28" t="s">
        <v>881</v>
      </c>
      <c r="J210" s="28" t="s">
        <v>881</v>
      </c>
      <c r="K210" s="28" t="s">
        <v>1348</v>
      </c>
      <c r="L210" s="28" t="s">
        <v>1058</v>
      </c>
      <c r="M210" s="28"/>
      <c r="N210" s="28"/>
      <c r="O210" s="28"/>
      <c r="P210" s="28"/>
    </row>
    <row r="211" customFormat="false" ht="15" hidden="false" customHeight="false" outlineLevel="0" collapsed="false">
      <c r="A211" s="28" t="s">
        <v>1349</v>
      </c>
      <c r="B211" s="28" t="s">
        <v>877</v>
      </c>
      <c r="C211" s="28" t="s">
        <v>104</v>
      </c>
      <c r="D211" s="28" t="s">
        <v>1340</v>
      </c>
      <c r="E211" s="28" t="s">
        <v>1341</v>
      </c>
      <c r="F211" s="32" t="n">
        <v>27944.54</v>
      </c>
      <c r="G211" s="28" t="s">
        <v>108</v>
      </c>
      <c r="H211" s="28" t="s">
        <v>1350</v>
      </c>
      <c r="I211" s="28" t="s">
        <v>881</v>
      </c>
      <c r="J211" s="28" t="s">
        <v>881</v>
      </c>
      <c r="K211" s="28" t="s">
        <v>1273</v>
      </c>
      <c r="L211" s="28" t="s">
        <v>1058</v>
      </c>
      <c r="M211" s="28"/>
      <c r="N211" s="28"/>
      <c r="O211" s="28"/>
      <c r="P211" s="28"/>
    </row>
    <row r="212" customFormat="false" ht="15" hidden="false" customHeight="false" outlineLevel="0" collapsed="false">
      <c r="A212" s="28" t="s">
        <v>1351</v>
      </c>
      <c r="B212" s="28" t="s">
        <v>905</v>
      </c>
      <c r="C212" s="28" t="s">
        <v>906</v>
      </c>
      <c r="D212" s="28" t="s">
        <v>1340</v>
      </c>
      <c r="E212" s="28" t="s">
        <v>1341</v>
      </c>
      <c r="F212" s="32" t="n">
        <v>267</v>
      </c>
      <c r="G212" s="28" t="s">
        <v>108</v>
      </c>
      <c r="H212" s="28" t="s">
        <v>1342</v>
      </c>
      <c r="I212" s="28" t="s">
        <v>1343</v>
      </c>
      <c r="J212" s="28" t="s">
        <v>1343</v>
      </c>
      <c r="K212" s="28" t="s">
        <v>1344</v>
      </c>
      <c r="L212" s="28" t="s">
        <v>899</v>
      </c>
      <c r="M212" s="28" t="s">
        <v>1345</v>
      </c>
      <c r="N212" s="28"/>
      <c r="O212" s="28"/>
      <c r="P212" s="28"/>
    </row>
    <row r="213" customFormat="false" ht="15" hidden="false" customHeight="false" outlineLevel="0" collapsed="false">
      <c r="A213" s="28" t="s">
        <v>1352</v>
      </c>
      <c r="B213" s="28" t="s">
        <v>923</v>
      </c>
      <c r="C213" s="28" t="s">
        <v>924</v>
      </c>
      <c r="D213" s="28" t="s">
        <v>1340</v>
      </c>
      <c r="E213" s="28" t="s">
        <v>1341</v>
      </c>
      <c r="F213" s="32" t="n">
        <v>13238.49</v>
      </c>
      <c r="G213" s="28" t="s">
        <v>108</v>
      </c>
      <c r="H213" s="28" t="s">
        <v>1096</v>
      </c>
      <c r="I213" s="28" t="s">
        <v>889</v>
      </c>
      <c r="J213" s="28" t="s">
        <v>889</v>
      </c>
      <c r="K213" s="28" t="s">
        <v>1348</v>
      </c>
      <c r="L213" s="28" t="s">
        <v>1058</v>
      </c>
      <c r="M213" s="28"/>
      <c r="N213" s="28"/>
      <c r="O213" s="28"/>
      <c r="P213" s="28"/>
    </row>
    <row r="214" customFormat="false" ht="15" hidden="false" customHeight="false" outlineLevel="0" collapsed="false">
      <c r="A214" s="28" t="s">
        <v>1353</v>
      </c>
      <c r="B214" s="28" t="s">
        <v>923</v>
      </c>
      <c r="C214" s="28" t="s">
        <v>924</v>
      </c>
      <c r="D214" s="28" t="s">
        <v>1340</v>
      </c>
      <c r="E214" s="28" t="s">
        <v>1341</v>
      </c>
      <c r="F214" s="32" t="n">
        <v>23154.69</v>
      </c>
      <c r="G214" s="28" t="s">
        <v>108</v>
      </c>
      <c r="H214" s="28" t="s">
        <v>1354</v>
      </c>
      <c r="I214" s="28" t="s">
        <v>881</v>
      </c>
      <c r="J214" s="28" t="s">
        <v>881</v>
      </c>
      <c r="K214" s="28" t="s">
        <v>1355</v>
      </c>
      <c r="L214" s="28" t="s">
        <v>1058</v>
      </c>
      <c r="M214" s="28"/>
      <c r="N214" s="28"/>
      <c r="O214" s="28"/>
      <c r="P214" s="28"/>
    </row>
    <row r="215" customFormat="false" ht="15" hidden="false" customHeight="false" outlineLevel="0" collapsed="false">
      <c r="A215" s="28" t="s">
        <v>1356</v>
      </c>
      <c r="B215" s="28" t="s">
        <v>919</v>
      </c>
      <c r="C215" s="28" t="s">
        <v>161</v>
      </c>
      <c r="D215" s="28" t="s">
        <v>1340</v>
      </c>
      <c r="E215" s="28" t="s">
        <v>1341</v>
      </c>
      <c r="F215" s="32" t="n">
        <v>534</v>
      </c>
      <c r="G215" s="28" t="s">
        <v>108</v>
      </c>
      <c r="H215" s="28" t="s">
        <v>1342</v>
      </c>
      <c r="I215" s="28" t="s">
        <v>1343</v>
      </c>
      <c r="J215" s="28" t="s">
        <v>1343</v>
      </c>
      <c r="K215" s="28" t="s">
        <v>1344</v>
      </c>
      <c r="L215" s="28" t="s">
        <v>899</v>
      </c>
      <c r="M215" s="28" t="s">
        <v>1345</v>
      </c>
      <c r="N215" s="28"/>
      <c r="O215" s="28"/>
      <c r="P215" s="28"/>
    </row>
    <row r="216" customFormat="false" ht="15" hidden="false" customHeight="false" outlineLevel="0" collapsed="false">
      <c r="A216" s="28" t="s">
        <v>1357</v>
      </c>
      <c r="B216" s="28" t="s">
        <v>886</v>
      </c>
      <c r="C216" s="28" t="s">
        <v>887</v>
      </c>
      <c r="D216" s="28" t="s">
        <v>1340</v>
      </c>
      <c r="E216" s="28" t="s">
        <v>1341</v>
      </c>
      <c r="F216" s="32" t="n">
        <v>534</v>
      </c>
      <c r="G216" s="28" t="s">
        <v>108</v>
      </c>
      <c r="H216" s="28" t="s">
        <v>1342</v>
      </c>
      <c r="I216" s="28" t="s">
        <v>1343</v>
      </c>
      <c r="J216" s="28" t="s">
        <v>1343</v>
      </c>
      <c r="K216" s="28" t="s">
        <v>1344</v>
      </c>
      <c r="L216" s="28" t="s">
        <v>899</v>
      </c>
      <c r="M216" s="28" t="s">
        <v>1345</v>
      </c>
      <c r="N216" s="28"/>
      <c r="O216" s="28"/>
      <c r="P216" s="28"/>
    </row>
    <row r="217" customFormat="false" ht="15" hidden="false" customHeight="false" outlineLevel="0" collapsed="false">
      <c r="A217" s="28" t="s">
        <v>1358</v>
      </c>
      <c r="B217" s="28" t="s">
        <v>915</v>
      </c>
      <c r="C217" s="28" t="s">
        <v>916</v>
      </c>
      <c r="D217" s="28" t="s">
        <v>1340</v>
      </c>
      <c r="E217" s="28" t="s">
        <v>1341</v>
      </c>
      <c r="F217" s="32" t="n">
        <v>3000</v>
      </c>
      <c r="G217" s="28" t="s">
        <v>108</v>
      </c>
      <c r="H217" s="28" t="s">
        <v>1359</v>
      </c>
      <c r="I217" s="28" t="s">
        <v>1026</v>
      </c>
      <c r="J217" s="28" t="s">
        <v>1026</v>
      </c>
      <c r="K217" s="28" t="s">
        <v>1360</v>
      </c>
      <c r="L217" s="28" t="s">
        <v>899</v>
      </c>
      <c r="M217" s="28" t="s">
        <v>1361</v>
      </c>
      <c r="N217" s="28"/>
      <c r="O217" s="28"/>
      <c r="P217" s="28"/>
    </row>
    <row r="218" customFormat="false" ht="15" hidden="false" customHeight="false" outlineLevel="0" collapsed="false">
      <c r="A218" s="28" t="s">
        <v>1362</v>
      </c>
      <c r="B218" s="28" t="s">
        <v>915</v>
      </c>
      <c r="C218" s="28" t="s">
        <v>916</v>
      </c>
      <c r="D218" s="28" t="s">
        <v>1340</v>
      </c>
      <c r="E218" s="28" t="s">
        <v>1341</v>
      </c>
      <c r="F218" s="32" t="n">
        <v>3000</v>
      </c>
      <c r="G218" s="28" t="s">
        <v>108</v>
      </c>
      <c r="H218" s="28" t="s">
        <v>1363</v>
      </c>
      <c r="I218" s="28" t="s">
        <v>1317</v>
      </c>
      <c r="J218" s="28" t="s">
        <v>1317</v>
      </c>
      <c r="K218" s="28" t="s">
        <v>1364</v>
      </c>
      <c r="L218" s="28" t="s">
        <v>899</v>
      </c>
      <c r="M218" s="28" t="s">
        <v>1361</v>
      </c>
      <c r="N218" s="28"/>
      <c r="O218" s="28"/>
      <c r="P218" s="28"/>
    </row>
    <row r="219" customFormat="false" ht="15" hidden="false" customHeight="false" outlineLevel="0" collapsed="false">
      <c r="A219" s="28" t="s">
        <v>1365</v>
      </c>
      <c r="B219" s="28" t="s">
        <v>877</v>
      </c>
      <c r="C219" s="28" t="s">
        <v>104</v>
      </c>
      <c r="D219" s="28" t="s">
        <v>1366</v>
      </c>
      <c r="E219" s="28" t="s">
        <v>1367</v>
      </c>
      <c r="F219" s="32" t="n">
        <v>28634.08</v>
      </c>
      <c r="G219" s="28" t="s">
        <v>108</v>
      </c>
      <c r="H219" s="28" t="s">
        <v>1368</v>
      </c>
      <c r="I219" s="28" t="s">
        <v>1337</v>
      </c>
      <c r="J219" s="28" t="s">
        <v>1337</v>
      </c>
      <c r="K219" s="28" t="s">
        <v>1369</v>
      </c>
      <c r="L219" s="28" t="s">
        <v>899</v>
      </c>
      <c r="M219" s="28" t="s">
        <v>1370</v>
      </c>
      <c r="N219" s="28" t="s">
        <v>1371</v>
      </c>
      <c r="O219" s="28" t="s">
        <v>1372</v>
      </c>
      <c r="P219" s="28"/>
    </row>
    <row r="220" customFormat="false" ht="15" hidden="false" customHeight="false" outlineLevel="0" collapsed="false">
      <c r="A220" s="28" t="s">
        <v>1373</v>
      </c>
      <c r="B220" s="28" t="s">
        <v>877</v>
      </c>
      <c r="C220" s="28" t="s">
        <v>104</v>
      </c>
      <c r="D220" s="28" t="s">
        <v>1366</v>
      </c>
      <c r="E220" s="28" t="s">
        <v>1367</v>
      </c>
      <c r="F220" s="32" t="n">
        <v>28634.08</v>
      </c>
      <c r="G220" s="28" t="s">
        <v>108</v>
      </c>
      <c r="H220" s="28" t="s">
        <v>1374</v>
      </c>
      <c r="I220" s="28" t="s">
        <v>1278</v>
      </c>
      <c r="J220" s="28" t="s">
        <v>1278</v>
      </c>
      <c r="K220" s="28" t="s">
        <v>1369</v>
      </c>
      <c r="L220" s="28" t="s">
        <v>899</v>
      </c>
      <c r="M220" s="28" t="s">
        <v>1370</v>
      </c>
      <c r="N220" s="28" t="s">
        <v>1371</v>
      </c>
      <c r="O220" s="28" t="s">
        <v>1372</v>
      </c>
      <c r="P220" s="28"/>
    </row>
    <row r="221" customFormat="false" ht="15" hidden="false" customHeight="false" outlineLevel="0" collapsed="false">
      <c r="A221" s="28" t="s">
        <v>1375</v>
      </c>
      <c r="B221" s="28" t="s">
        <v>923</v>
      </c>
      <c r="C221" s="28" t="s">
        <v>924</v>
      </c>
      <c r="D221" s="28" t="s">
        <v>1376</v>
      </c>
      <c r="E221" s="28" t="s">
        <v>1377</v>
      </c>
      <c r="F221" s="32" t="n">
        <v>8493.63</v>
      </c>
      <c r="G221" s="28" t="s">
        <v>108</v>
      </c>
      <c r="H221" s="28" t="s">
        <v>1378</v>
      </c>
      <c r="I221" s="28" t="s">
        <v>881</v>
      </c>
      <c r="J221" s="28" t="s">
        <v>881</v>
      </c>
      <c r="K221" s="28" t="s">
        <v>1379</v>
      </c>
      <c r="L221" s="28" t="s">
        <v>1058</v>
      </c>
      <c r="M221" s="28"/>
      <c r="N221" s="28"/>
      <c r="O221" s="28"/>
      <c r="P221" s="28"/>
    </row>
    <row r="222" customFormat="false" ht="15" hidden="false" customHeight="false" outlineLevel="0" collapsed="false">
      <c r="A222" s="28" t="s">
        <v>1380</v>
      </c>
      <c r="B222" s="28" t="s">
        <v>923</v>
      </c>
      <c r="C222" s="28" t="s">
        <v>924</v>
      </c>
      <c r="D222" s="28" t="s">
        <v>1376</v>
      </c>
      <c r="E222" s="28" t="s">
        <v>1377</v>
      </c>
      <c r="F222" s="32" t="n">
        <v>7671.66</v>
      </c>
      <c r="G222" s="28" t="s">
        <v>108</v>
      </c>
      <c r="H222" s="28" t="s">
        <v>1381</v>
      </c>
      <c r="I222" s="28" t="s">
        <v>889</v>
      </c>
      <c r="J222" s="28" t="s">
        <v>889</v>
      </c>
      <c r="K222" s="28" t="s">
        <v>1379</v>
      </c>
      <c r="L222" s="28" t="s">
        <v>1058</v>
      </c>
      <c r="M222" s="28"/>
      <c r="N222" s="28"/>
      <c r="O222" s="28"/>
      <c r="P222" s="28"/>
    </row>
    <row r="223" customFormat="false" ht="15" hidden="false" customHeight="false" outlineLevel="0" collapsed="false">
      <c r="A223" s="28" t="s">
        <v>1382</v>
      </c>
      <c r="B223" s="28" t="s">
        <v>915</v>
      </c>
      <c r="C223" s="28" t="s">
        <v>916</v>
      </c>
      <c r="D223" s="28" t="s">
        <v>1376</v>
      </c>
      <c r="E223" s="28" t="s">
        <v>1377</v>
      </c>
      <c r="F223" s="32" t="n">
        <v>6455.16</v>
      </c>
      <c r="G223" s="28" t="s">
        <v>108</v>
      </c>
      <c r="H223" s="28" t="s">
        <v>1378</v>
      </c>
      <c r="I223" s="28" t="s">
        <v>881</v>
      </c>
      <c r="J223" s="28" t="s">
        <v>881</v>
      </c>
      <c r="K223" s="28" t="s">
        <v>1379</v>
      </c>
      <c r="L223" s="28" t="s">
        <v>1058</v>
      </c>
      <c r="M223" s="28"/>
      <c r="N223" s="28"/>
      <c r="O223" s="28"/>
      <c r="P223" s="28"/>
    </row>
    <row r="224" customFormat="false" ht="15" hidden="false" customHeight="false" outlineLevel="0" collapsed="false">
      <c r="A224" s="28" t="s">
        <v>1383</v>
      </c>
      <c r="B224" s="28" t="s">
        <v>915</v>
      </c>
      <c r="C224" s="28" t="s">
        <v>916</v>
      </c>
      <c r="D224" s="28" t="s">
        <v>1376</v>
      </c>
      <c r="E224" s="28" t="s">
        <v>1377</v>
      </c>
      <c r="F224" s="32" t="n">
        <v>5830.46</v>
      </c>
      <c r="G224" s="28" t="s">
        <v>108</v>
      </c>
      <c r="H224" s="28" t="s">
        <v>1381</v>
      </c>
      <c r="I224" s="28" t="s">
        <v>889</v>
      </c>
      <c r="J224" s="28" t="s">
        <v>889</v>
      </c>
      <c r="K224" s="28" t="s">
        <v>1379</v>
      </c>
      <c r="L224" s="28" t="s">
        <v>1058</v>
      </c>
      <c r="M224" s="28"/>
      <c r="N224" s="28"/>
      <c r="O224" s="28"/>
      <c r="P224" s="28"/>
    </row>
    <row r="225" customFormat="false" ht="15" hidden="false" customHeight="false" outlineLevel="0" collapsed="false">
      <c r="A225" s="28" t="s">
        <v>1384</v>
      </c>
      <c r="B225" s="28" t="s">
        <v>919</v>
      </c>
      <c r="C225" s="28" t="s">
        <v>161</v>
      </c>
      <c r="D225" s="28" t="s">
        <v>1376</v>
      </c>
      <c r="E225" s="28" t="s">
        <v>1377</v>
      </c>
      <c r="F225" s="32" t="n">
        <v>11296.52</v>
      </c>
      <c r="G225" s="28" t="s">
        <v>108</v>
      </c>
      <c r="H225" s="28" t="s">
        <v>1378</v>
      </c>
      <c r="I225" s="28" t="s">
        <v>881</v>
      </c>
      <c r="J225" s="28" t="s">
        <v>881</v>
      </c>
      <c r="K225" s="28" t="s">
        <v>1379</v>
      </c>
      <c r="L225" s="28" t="s">
        <v>1058</v>
      </c>
      <c r="M225" s="28"/>
      <c r="N225" s="28"/>
      <c r="O225" s="28"/>
      <c r="P225" s="28"/>
    </row>
    <row r="226" customFormat="false" ht="15" hidden="false" customHeight="false" outlineLevel="0" collapsed="false">
      <c r="A226" s="28" t="s">
        <v>1385</v>
      </c>
      <c r="B226" s="28" t="s">
        <v>919</v>
      </c>
      <c r="C226" s="28" t="s">
        <v>161</v>
      </c>
      <c r="D226" s="28" t="s">
        <v>1376</v>
      </c>
      <c r="E226" s="28" t="s">
        <v>1377</v>
      </c>
      <c r="F226" s="32" t="n">
        <v>10203.32</v>
      </c>
      <c r="G226" s="28" t="s">
        <v>108</v>
      </c>
      <c r="H226" s="28" t="s">
        <v>1381</v>
      </c>
      <c r="I226" s="28" t="s">
        <v>889</v>
      </c>
      <c r="J226" s="28" t="s">
        <v>889</v>
      </c>
      <c r="K226" s="28" t="s">
        <v>1379</v>
      </c>
      <c r="L226" s="28" t="s">
        <v>1058</v>
      </c>
      <c r="M226" s="28"/>
      <c r="N226" s="28"/>
      <c r="O226" s="28"/>
      <c r="P226" s="28"/>
    </row>
    <row r="227" customFormat="false" ht="15" hidden="false" customHeight="false" outlineLevel="0" collapsed="false">
      <c r="A227" s="28" t="s">
        <v>1386</v>
      </c>
      <c r="B227" s="28" t="s">
        <v>886</v>
      </c>
      <c r="C227" s="28" t="s">
        <v>887</v>
      </c>
      <c r="D227" s="28" t="s">
        <v>1376</v>
      </c>
      <c r="E227" s="28" t="s">
        <v>1377</v>
      </c>
      <c r="F227" s="32" t="n">
        <v>24631.52</v>
      </c>
      <c r="G227" s="28" t="s">
        <v>108</v>
      </c>
      <c r="H227" s="28" t="s">
        <v>1378</v>
      </c>
      <c r="I227" s="28" t="s">
        <v>881</v>
      </c>
      <c r="J227" s="28" t="s">
        <v>881</v>
      </c>
      <c r="K227" s="28" t="s">
        <v>1379</v>
      </c>
      <c r="L227" s="28" t="s">
        <v>1058</v>
      </c>
      <c r="M227" s="28"/>
      <c r="N227" s="28"/>
      <c r="O227" s="28"/>
      <c r="P227" s="28"/>
    </row>
    <row r="228" customFormat="false" ht="15" hidden="false" customHeight="false" outlineLevel="0" collapsed="false">
      <c r="A228" s="28" t="s">
        <v>1387</v>
      </c>
      <c r="B228" s="28" t="s">
        <v>886</v>
      </c>
      <c r="C228" s="28" t="s">
        <v>887</v>
      </c>
      <c r="D228" s="28" t="s">
        <v>1376</v>
      </c>
      <c r="E228" s="28" t="s">
        <v>1377</v>
      </c>
      <c r="F228" s="32" t="n">
        <v>22247.83</v>
      </c>
      <c r="G228" s="28" t="s">
        <v>108</v>
      </c>
      <c r="H228" s="28" t="s">
        <v>1381</v>
      </c>
      <c r="I228" s="28" t="s">
        <v>889</v>
      </c>
      <c r="J228" s="28" t="s">
        <v>889</v>
      </c>
      <c r="K228" s="28" t="s">
        <v>1379</v>
      </c>
      <c r="L228" s="28" t="s">
        <v>1058</v>
      </c>
      <c r="M228" s="28"/>
      <c r="N228" s="28"/>
      <c r="O228" s="28"/>
      <c r="P228" s="28"/>
    </row>
    <row r="229" customFormat="false" ht="15" hidden="false" customHeight="false" outlineLevel="0" collapsed="false">
      <c r="A229" s="28" t="s">
        <v>1388</v>
      </c>
      <c r="B229" s="28" t="s">
        <v>919</v>
      </c>
      <c r="C229" s="28" t="s">
        <v>161</v>
      </c>
      <c r="D229" s="28" t="s">
        <v>1389</v>
      </c>
      <c r="E229" s="28" t="s">
        <v>1390</v>
      </c>
      <c r="F229" s="32" t="n">
        <v>1199.71</v>
      </c>
      <c r="G229" s="28" t="s">
        <v>108</v>
      </c>
      <c r="H229" s="28" t="s">
        <v>1391</v>
      </c>
      <c r="I229" s="28" t="s">
        <v>889</v>
      </c>
      <c r="J229" s="28" t="s">
        <v>889</v>
      </c>
      <c r="K229" s="28" t="s">
        <v>1392</v>
      </c>
      <c r="L229" s="28" t="s">
        <v>1058</v>
      </c>
      <c r="M229" s="28"/>
      <c r="N229" s="28" t="s">
        <v>1393</v>
      </c>
      <c r="O229" s="28" t="s">
        <v>1394</v>
      </c>
      <c r="P229" s="28"/>
    </row>
    <row r="230" customFormat="false" ht="15" hidden="false" customHeight="false" outlineLevel="0" collapsed="false">
      <c r="A230" s="28" t="s">
        <v>1395</v>
      </c>
      <c r="B230" s="28" t="s">
        <v>919</v>
      </c>
      <c r="C230" s="28" t="s">
        <v>161</v>
      </c>
      <c r="D230" s="28" t="s">
        <v>1389</v>
      </c>
      <c r="E230" s="28" t="s">
        <v>1390</v>
      </c>
      <c r="F230" s="32" t="n">
        <v>1912.09</v>
      </c>
      <c r="G230" s="28" t="s">
        <v>108</v>
      </c>
      <c r="H230" s="28" t="s">
        <v>1350</v>
      </c>
      <c r="I230" s="28" t="s">
        <v>881</v>
      </c>
      <c r="J230" s="28" t="s">
        <v>881</v>
      </c>
      <c r="K230" s="28" t="s">
        <v>1396</v>
      </c>
      <c r="L230" s="28" t="s">
        <v>1058</v>
      </c>
      <c r="M230" s="28"/>
      <c r="N230" s="28" t="s">
        <v>1393</v>
      </c>
      <c r="O230" s="28" t="s">
        <v>1394</v>
      </c>
      <c r="P230" s="28"/>
    </row>
    <row r="231" customFormat="false" ht="15" hidden="false" customHeight="false" outlineLevel="0" collapsed="false">
      <c r="A231" s="28" t="s">
        <v>1397</v>
      </c>
      <c r="B231" s="28" t="s">
        <v>919</v>
      </c>
      <c r="C231" s="28" t="s">
        <v>161</v>
      </c>
      <c r="D231" s="28" t="s">
        <v>1389</v>
      </c>
      <c r="E231" s="28" t="s">
        <v>1390</v>
      </c>
      <c r="F231" s="32" t="n">
        <v>1328.26</v>
      </c>
      <c r="G231" s="28" t="s">
        <v>108</v>
      </c>
      <c r="H231" s="28" t="s">
        <v>1354</v>
      </c>
      <c r="I231" s="28" t="s">
        <v>881</v>
      </c>
      <c r="J231" s="28" t="s">
        <v>881</v>
      </c>
      <c r="K231" s="28" t="s">
        <v>1392</v>
      </c>
      <c r="L231" s="28" t="s">
        <v>1058</v>
      </c>
      <c r="M231" s="28"/>
      <c r="N231" s="28" t="s">
        <v>1393</v>
      </c>
      <c r="O231" s="28" t="s">
        <v>1394</v>
      </c>
      <c r="P231" s="28"/>
    </row>
    <row r="232" customFormat="false" ht="15" hidden="false" customHeight="false" outlineLevel="0" collapsed="false">
      <c r="A232" s="28" t="s">
        <v>1398</v>
      </c>
      <c r="B232" s="28" t="s">
        <v>919</v>
      </c>
      <c r="C232" s="28" t="s">
        <v>161</v>
      </c>
      <c r="D232" s="28" t="s">
        <v>1389</v>
      </c>
      <c r="E232" s="28" t="s">
        <v>1390</v>
      </c>
      <c r="F232" s="32" t="n">
        <v>1727.05</v>
      </c>
      <c r="G232" s="28" t="s">
        <v>108</v>
      </c>
      <c r="H232" s="28" t="s">
        <v>1399</v>
      </c>
      <c r="I232" s="28" t="s">
        <v>889</v>
      </c>
      <c r="J232" s="28" t="s">
        <v>889</v>
      </c>
      <c r="K232" s="28" t="s">
        <v>1396</v>
      </c>
      <c r="L232" s="28" t="s">
        <v>1058</v>
      </c>
      <c r="M232" s="28"/>
      <c r="N232" s="28" t="s">
        <v>1393</v>
      </c>
      <c r="O232" s="28" t="s">
        <v>1394</v>
      </c>
      <c r="P232" s="28"/>
    </row>
    <row r="233" customFormat="false" ht="15" hidden="false" customHeight="false" outlineLevel="0" collapsed="false">
      <c r="A233" s="28" t="s">
        <v>1400</v>
      </c>
      <c r="B233" s="28" t="s">
        <v>923</v>
      </c>
      <c r="C233" s="28" t="s">
        <v>924</v>
      </c>
      <c r="D233" s="28" t="s">
        <v>1401</v>
      </c>
      <c r="E233" s="28" t="s">
        <v>1402</v>
      </c>
      <c r="F233" s="32" t="n">
        <v>16247.87</v>
      </c>
      <c r="G233" s="28" t="s">
        <v>108</v>
      </c>
      <c r="H233" s="28" t="s">
        <v>1378</v>
      </c>
      <c r="I233" s="28" t="s">
        <v>881</v>
      </c>
      <c r="J233" s="28" t="s">
        <v>881</v>
      </c>
      <c r="K233" s="28" t="s">
        <v>1403</v>
      </c>
      <c r="L233" s="28" t="s">
        <v>1058</v>
      </c>
      <c r="M233" s="28"/>
      <c r="N233" s="28"/>
      <c r="O233" s="28"/>
      <c r="P233" s="28"/>
    </row>
    <row r="234" customFormat="false" ht="15" hidden="false" customHeight="false" outlineLevel="0" collapsed="false">
      <c r="A234" s="28" t="s">
        <v>1404</v>
      </c>
      <c r="B234" s="28" t="s">
        <v>919</v>
      </c>
      <c r="C234" s="28" t="s">
        <v>161</v>
      </c>
      <c r="D234" s="28" t="s">
        <v>1401</v>
      </c>
      <c r="E234" s="28" t="s">
        <v>1402</v>
      </c>
      <c r="F234" s="32" t="n">
        <v>18235.71</v>
      </c>
      <c r="G234" s="28" t="s">
        <v>108</v>
      </c>
      <c r="H234" s="28" t="s">
        <v>1350</v>
      </c>
      <c r="I234" s="28" t="s">
        <v>881</v>
      </c>
      <c r="J234" s="28" t="s">
        <v>881</v>
      </c>
      <c r="K234" s="28" t="s">
        <v>1403</v>
      </c>
      <c r="L234" s="28" t="s">
        <v>1058</v>
      </c>
      <c r="M234" s="28"/>
      <c r="N234" s="28"/>
      <c r="O234" s="28"/>
      <c r="P234" s="28"/>
    </row>
    <row r="235" customFormat="false" ht="15" hidden="false" customHeight="false" outlineLevel="0" collapsed="false">
      <c r="A235" s="28" t="s">
        <v>1405</v>
      </c>
      <c r="B235" s="28" t="s">
        <v>886</v>
      </c>
      <c r="C235" s="28" t="s">
        <v>887</v>
      </c>
      <c r="D235" s="28" t="s">
        <v>1401</v>
      </c>
      <c r="E235" s="28" t="s">
        <v>1402</v>
      </c>
      <c r="F235" s="32" t="n">
        <v>46392.78</v>
      </c>
      <c r="G235" s="28" t="s">
        <v>108</v>
      </c>
      <c r="H235" s="28" t="s">
        <v>1350</v>
      </c>
      <c r="I235" s="28" t="s">
        <v>881</v>
      </c>
      <c r="J235" s="28" t="s">
        <v>881</v>
      </c>
      <c r="K235" s="28" t="s">
        <v>1403</v>
      </c>
      <c r="L235" s="28" t="s">
        <v>1058</v>
      </c>
      <c r="M235" s="28"/>
      <c r="N235" s="28"/>
      <c r="O235" s="28"/>
      <c r="P235" s="28"/>
    </row>
    <row r="236" customFormat="false" ht="15" hidden="false" customHeight="false" outlineLevel="0" collapsed="false">
      <c r="A236" s="28" t="s">
        <v>1406</v>
      </c>
      <c r="B236" s="28" t="s">
        <v>915</v>
      </c>
      <c r="C236" s="28" t="s">
        <v>916</v>
      </c>
      <c r="D236" s="28" t="s">
        <v>1401</v>
      </c>
      <c r="E236" s="28" t="s">
        <v>1402</v>
      </c>
      <c r="F236" s="32" t="n">
        <v>8827.86</v>
      </c>
      <c r="G236" s="28" t="s">
        <v>108</v>
      </c>
      <c r="H236" s="28" t="s">
        <v>1399</v>
      </c>
      <c r="I236" s="28" t="s">
        <v>889</v>
      </c>
      <c r="J236" s="28" t="s">
        <v>889</v>
      </c>
      <c r="K236" s="28" t="s">
        <v>1403</v>
      </c>
      <c r="L236" s="28" t="s">
        <v>1058</v>
      </c>
      <c r="M236" s="28"/>
      <c r="N236" s="28"/>
      <c r="O236" s="28"/>
      <c r="P236" s="28"/>
    </row>
    <row r="237" customFormat="false" ht="15" hidden="false" customHeight="false" outlineLevel="0" collapsed="false">
      <c r="A237" s="28" t="s">
        <v>1407</v>
      </c>
      <c r="B237" s="28" t="s">
        <v>886</v>
      </c>
      <c r="C237" s="28" t="s">
        <v>887</v>
      </c>
      <c r="D237" s="28" t="s">
        <v>1401</v>
      </c>
      <c r="E237" s="28" t="s">
        <v>1402</v>
      </c>
      <c r="F237" s="32" t="n">
        <v>41903.15</v>
      </c>
      <c r="G237" s="28" t="s">
        <v>108</v>
      </c>
      <c r="H237" s="28" t="s">
        <v>1399</v>
      </c>
      <c r="I237" s="28" t="s">
        <v>889</v>
      </c>
      <c r="J237" s="28" t="s">
        <v>889</v>
      </c>
      <c r="K237" s="28" t="s">
        <v>1403</v>
      </c>
      <c r="L237" s="28" t="s">
        <v>1058</v>
      </c>
      <c r="M237" s="28"/>
      <c r="N237" s="28"/>
      <c r="O237" s="28"/>
      <c r="P237" s="28"/>
    </row>
    <row r="238" customFormat="false" ht="15" hidden="false" customHeight="false" outlineLevel="0" collapsed="false">
      <c r="A238" s="28" t="s">
        <v>1408</v>
      </c>
      <c r="B238" s="28" t="s">
        <v>919</v>
      </c>
      <c r="C238" s="28" t="s">
        <v>161</v>
      </c>
      <c r="D238" s="28" t="s">
        <v>1401</v>
      </c>
      <c r="E238" s="28" t="s">
        <v>1402</v>
      </c>
      <c r="F238" s="32" t="n">
        <v>16470.96</v>
      </c>
      <c r="G238" s="28" t="s">
        <v>108</v>
      </c>
      <c r="H238" s="28" t="s">
        <v>1399</v>
      </c>
      <c r="I238" s="28" t="s">
        <v>889</v>
      </c>
      <c r="J238" s="28" t="s">
        <v>889</v>
      </c>
      <c r="K238" s="28" t="s">
        <v>1403</v>
      </c>
      <c r="L238" s="28" t="s">
        <v>1058</v>
      </c>
      <c r="M238" s="28"/>
      <c r="N238" s="28"/>
      <c r="O238" s="28"/>
      <c r="P238" s="28"/>
    </row>
    <row r="239" customFormat="false" ht="15" hidden="false" customHeight="false" outlineLevel="0" collapsed="false">
      <c r="A239" s="28" t="s">
        <v>1409</v>
      </c>
      <c r="B239" s="28" t="s">
        <v>915</v>
      </c>
      <c r="C239" s="28" t="s">
        <v>916</v>
      </c>
      <c r="D239" s="28" t="s">
        <v>1401</v>
      </c>
      <c r="E239" s="28" t="s">
        <v>1402</v>
      </c>
      <c r="F239" s="32" t="n">
        <v>9773.71</v>
      </c>
      <c r="G239" s="28" t="s">
        <v>108</v>
      </c>
      <c r="H239" s="28" t="s">
        <v>1350</v>
      </c>
      <c r="I239" s="28" t="s">
        <v>881</v>
      </c>
      <c r="J239" s="28" t="s">
        <v>881</v>
      </c>
      <c r="K239" s="28" t="s">
        <v>1403</v>
      </c>
      <c r="L239" s="28" t="s">
        <v>1058</v>
      </c>
      <c r="M239" s="28"/>
      <c r="N239" s="28"/>
      <c r="O239" s="28"/>
      <c r="P239" s="28"/>
    </row>
    <row r="240" customFormat="false" ht="15" hidden="false" customHeight="false" outlineLevel="0" collapsed="false">
      <c r="A240" s="28" t="s">
        <v>1410</v>
      </c>
      <c r="B240" s="28" t="s">
        <v>923</v>
      </c>
      <c r="C240" s="28" t="s">
        <v>924</v>
      </c>
      <c r="D240" s="28" t="s">
        <v>1401</v>
      </c>
      <c r="E240" s="28" t="s">
        <v>1402</v>
      </c>
      <c r="F240" s="32" t="n">
        <v>14675.49</v>
      </c>
      <c r="G240" s="28" t="s">
        <v>108</v>
      </c>
      <c r="H240" s="28" t="s">
        <v>1381</v>
      </c>
      <c r="I240" s="28" t="s">
        <v>889</v>
      </c>
      <c r="J240" s="28" t="s">
        <v>889</v>
      </c>
      <c r="K240" s="28" t="s">
        <v>1403</v>
      </c>
      <c r="L240" s="28" t="s">
        <v>1058</v>
      </c>
      <c r="M240" s="28"/>
      <c r="N240" s="28"/>
      <c r="O240" s="28"/>
      <c r="P240" s="28"/>
    </row>
    <row r="241" customFormat="false" ht="15" hidden="false" customHeight="false" outlineLevel="0" collapsed="false">
      <c r="A241" s="28" t="s">
        <v>1411</v>
      </c>
      <c r="B241" s="28" t="s">
        <v>877</v>
      </c>
      <c r="C241" s="28" t="s">
        <v>104</v>
      </c>
      <c r="D241" s="28" t="s">
        <v>1412</v>
      </c>
      <c r="E241" s="28" t="s">
        <v>1413</v>
      </c>
      <c r="F241" s="32" t="n">
        <v>4061</v>
      </c>
      <c r="G241" s="28" t="s">
        <v>108</v>
      </c>
      <c r="H241" s="28" t="s">
        <v>1414</v>
      </c>
      <c r="I241" s="28" t="s">
        <v>1101</v>
      </c>
      <c r="J241" s="28" t="s">
        <v>1101</v>
      </c>
      <c r="K241" s="28" t="s">
        <v>1415</v>
      </c>
      <c r="L241" s="28" t="s">
        <v>899</v>
      </c>
      <c r="M241" s="28" t="s">
        <v>1416</v>
      </c>
      <c r="N241" s="28" t="s">
        <v>1371</v>
      </c>
      <c r="O241" s="28" t="s">
        <v>1372</v>
      </c>
      <c r="P241" s="28"/>
    </row>
    <row r="242" customFormat="false" ht="15" hidden="false" customHeight="false" outlineLevel="0" collapsed="false">
      <c r="A242" s="28" t="s">
        <v>1417</v>
      </c>
      <c r="B242" s="28" t="s">
        <v>877</v>
      </c>
      <c r="C242" s="28" t="s">
        <v>104</v>
      </c>
      <c r="D242" s="28" t="s">
        <v>1412</v>
      </c>
      <c r="E242" s="28" t="s">
        <v>1413</v>
      </c>
      <c r="F242" s="32" t="n">
        <v>3995.91</v>
      </c>
      <c r="G242" s="28" t="s">
        <v>108</v>
      </c>
      <c r="H242" s="28" t="s">
        <v>1418</v>
      </c>
      <c r="I242" s="28" t="s">
        <v>889</v>
      </c>
      <c r="J242" s="28" t="s">
        <v>889</v>
      </c>
      <c r="K242" s="28" t="s">
        <v>1419</v>
      </c>
      <c r="L242" s="28" t="s">
        <v>899</v>
      </c>
      <c r="M242" s="28" t="s">
        <v>1416</v>
      </c>
      <c r="N242" s="28" t="s">
        <v>1371</v>
      </c>
      <c r="O242" s="28" t="s">
        <v>1372</v>
      </c>
      <c r="P242" s="28"/>
    </row>
    <row r="243" customFormat="false" ht="15" hidden="false" customHeight="false" outlineLevel="0" collapsed="false">
      <c r="A243" s="28" t="s">
        <v>1420</v>
      </c>
      <c r="B243" s="28" t="s">
        <v>877</v>
      </c>
      <c r="C243" s="28" t="s">
        <v>104</v>
      </c>
      <c r="D243" s="28" t="s">
        <v>1412</v>
      </c>
      <c r="E243" s="28" t="s">
        <v>1413</v>
      </c>
      <c r="F243" s="32" t="n">
        <v>2655.83</v>
      </c>
      <c r="G243" s="28" t="s">
        <v>108</v>
      </c>
      <c r="H243" s="28" t="s">
        <v>1421</v>
      </c>
      <c r="I243" s="28" t="s">
        <v>1260</v>
      </c>
      <c r="J243" s="28" t="s">
        <v>1260</v>
      </c>
      <c r="K243" s="28" t="s">
        <v>1422</v>
      </c>
      <c r="L243" s="28" t="s">
        <v>899</v>
      </c>
      <c r="M243" s="28" t="s">
        <v>1416</v>
      </c>
      <c r="N243" s="28" t="s">
        <v>1371</v>
      </c>
      <c r="O243" s="28" t="s">
        <v>1372</v>
      </c>
      <c r="P243" s="28"/>
    </row>
    <row r="244" customFormat="false" ht="15" hidden="false" customHeight="false" outlineLevel="0" collapsed="false">
      <c r="A244" s="28" t="s">
        <v>1423</v>
      </c>
      <c r="B244" s="28" t="s">
        <v>877</v>
      </c>
      <c r="C244" s="28" t="s">
        <v>104</v>
      </c>
      <c r="D244" s="28" t="s">
        <v>1412</v>
      </c>
      <c r="E244" s="28" t="s">
        <v>1413</v>
      </c>
      <c r="F244" s="32" t="n">
        <v>2538.52</v>
      </c>
      <c r="G244" s="28" t="s">
        <v>108</v>
      </c>
      <c r="H244" s="28" t="s">
        <v>1424</v>
      </c>
      <c r="I244" s="28" t="s">
        <v>1425</v>
      </c>
      <c r="J244" s="28" t="s">
        <v>1425</v>
      </c>
      <c r="K244" s="28" t="s">
        <v>1426</v>
      </c>
      <c r="L244" s="28" t="s">
        <v>899</v>
      </c>
      <c r="M244" s="28" t="s">
        <v>1416</v>
      </c>
      <c r="N244" s="28" t="s">
        <v>1371</v>
      </c>
      <c r="O244" s="28" t="s">
        <v>1372</v>
      </c>
      <c r="P244" s="28"/>
    </row>
    <row r="245" customFormat="false" ht="15" hidden="false" customHeight="false" outlineLevel="0" collapsed="false">
      <c r="A245" s="28" t="s">
        <v>1427</v>
      </c>
      <c r="B245" s="28" t="s">
        <v>877</v>
      </c>
      <c r="C245" s="28" t="s">
        <v>104</v>
      </c>
      <c r="D245" s="28" t="s">
        <v>1412</v>
      </c>
      <c r="E245" s="28" t="s">
        <v>1413</v>
      </c>
      <c r="F245" s="32" t="n">
        <v>2644.8</v>
      </c>
      <c r="G245" s="28" t="s">
        <v>108</v>
      </c>
      <c r="H245" s="28" t="s">
        <v>1428</v>
      </c>
      <c r="I245" s="28" t="s">
        <v>881</v>
      </c>
      <c r="J245" s="28" t="s">
        <v>881</v>
      </c>
      <c r="K245" s="28" t="s">
        <v>1429</v>
      </c>
      <c r="L245" s="28" t="s">
        <v>899</v>
      </c>
      <c r="M245" s="28" t="s">
        <v>1416</v>
      </c>
      <c r="N245" s="28" t="s">
        <v>1371</v>
      </c>
      <c r="O245" s="28" t="s">
        <v>1372</v>
      </c>
      <c r="P245" s="28"/>
    </row>
    <row r="246" customFormat="false" ht="15" hidden="false" customHeight="false" outlineLevel="0" collapsed="false">
      <c r="A246" s="28" t="s">
        <v>1430</v>
      </c>
      <c r="B246" s="28" t="s">
        <v>877</v>
      </c>
      <c r="C246" s="28" t="s">
        <v>104</v>
      </c>
      <c r="D246" s="28" t="s">
        <v>1412</v>
      </c>
      <c r="E246" s="28" t="s">
        <v>1413</v>
      </c>
      <c r="F246" s="32" t="n">
        <v>6530.6</v>
      </c>
      <c r="G246" s="28" t="s">
        <v>108</v>
      </c>
      <c r="H246" s="28" t="s">
        <v>1431</v>
      </c>
      <c r="I246" s="28" t="s">
        <v>1026</v>
      </c>
      <c r="J246" s="28" t="s">
        <v>1026</v>
      </c>
      <c r="K246" s="28" t="s">
        <v>1432</v>
      </c>
      <c r="L246" s="28" t="s">
        <v>899</v>
      </c>
      <c r="M246" s="28" t="s">
        <v>1416</v>
      </c>
      <c r="N246" s="28" t="s">
        <v>1371</v>
      </c>
      <c r="O246" s="28" t="s">
        <v>1372</v>
      </c>
      <c r="P246" s="28"/>
    </row>
    <row r="247" customFormat="false" ht="15" hidden="false" customHeight="false" outlineLevel="0" collapsed="false">
      <c r="A247" s="28" t="s">
        <v>1433</v>
      </c>
      <c r="B247" s="28" t="s">
        <v>877</v>
      </c>
      <c r="C247" s="28" t="s">
        <v>104</v>
      </c>
      <c r="D247" s="28" t="s">
        <v>1434</v>
      </c>
      <c r="E247" s="28" t="s">
        <v>1435</v>
      </c>
      <c r="F247" s="32" t="n">
        <v>4429.17</v>
      </c>
      <c r="G247" s="28" t="s">
        <v>108</v>
      </c>
      <c r="H247" s="28" t="s">
        <v>1436</v>
      </c>
      <c r="I247" s="28" t="s">
        <v>1437</v>
      </c>
      <c r="J247" s="28" t="s">
        <v>1437</v>
      </c>
      <c r="K247" s="28" t="s">
        <v>1438</v>
      </c>
      <c r="L247" s="28" t="s">
        <v>899</v>
      </c>
      <c r="M247" s="28" t="s">
        <v>1370</v>
      </c>
      <c r="N247" s="28" t="s">
        <v>1371</v>
      </c>
      <c r="O247" s="28" t="s">
        <v>1372</v>
      </c>
      <c r="P247" s="28"/>
    </row>
    <row r="248" customFormat="false" ht="15" hidden="false" customHeight="false" outlineLevel="0" collapsed="false">
      <c r="A248" s="28" t="s">
        <v>1439</v>
      </c>
      <c r="B248" s="28" t="s">
        <v>877</v>
      </c>
      <c r="C248" s="28" t="s">
        <v>104</v>
      </c>
      <c r="D248" s="28" t="s">
        <v>1434</v>
      </c>
      <c r="E248" s="28" t="s">
        <v>1435</v>
      </c>
      <c r="F248" s="32" t="n">
        <v>1250</v>
      </c>
      <c r="G248" s="28" t="s">
        <v>108</v>
      </c>
      <c r="H248" s="28" t="s">
        <v>1440</v>
      </c>
      <c r="I248" s="28" t="s">
        <v>1441</v>
      </c>
      <c r="J248" s="28" t="s">
        <v>1441</v>
      </c>
      <c r="K248" s="28" t="s">
        <v>1442</v>
      </c>
      <c r="L248" s="28" t="s">
        <v>899</v>
      </c>
      <c r="M248" s="28" t="s">
        <v>1370</v>
      </c>
      <c r="N248" s="28" t="s">
        <v>1371</v>
      </c>
      <c r="O248" s="28" t="s">
        <v>1372</v>
      </c>
      <c r="P248" s="28"/>
    </row>
    <row r="249" customFormat="false" ht="15" hidden="false" customHeight="false" outlineLevel="0" collapsed="false">
      <c r="A249" s="28" t="s">
        <v>1443</v>
      </c>
      <c r="B249" s="28" t="s">
        <v>877</v>
      </c>
      <c r="C249" s="28" t="s">
        <v>104</v>
      </c>
      <c r="D249" s="28" t="s">
        <v>1434</v>
      </c>
      <c r="E249" s="28" t="s">
        <v>1435</v>
      </c>
      <c r="F249" s="32" t="n">
        <v>5181.23</v>
      </c>
      <c r="G249" s="28" t="s">
        <v>108</v>
      </c>
      <c r="H249" s="28" t="s">
        <v>1444</v>
      </c>
      <c r="I249" s="28" t="s">
        <v>1445</v>
      </c>
      <c r="J249" s="28" t="s">
        <v>1445</v>
      </c>
      <c r="K249" s="28" t="s">
        <v>1446</v>
      </c>
      <c r="L249" s="28" t="s">
        <v>899</v>
      </c>
      <c r="M249" s="28" t="s">
        <v>1447</v>
      </c>
      <c r="N249" s="28" t="s">
        <v>1371</v>
      </c>
      <c r="O249" s="28" t="s">
        <v>1372</v>
      </c>
      <c r="P249" s="28"/>
    </row>
    <row r="250" customFormat="false" ht="15" hidden="false" customHeight="false" outlineLevel="0" collapsed="false">
      <c r="A250" s="28" t="s">
        <v>1448</v>
      </c>
      <c r="B250" s="28" t="s">
        <v>877</v>
      </c>
      <c r="C250" s="28" t="s">
        <v>104</v>
      </c>
      <c r="D250" s="28" t="s">
        <v>1449</v>
      </c>
      <c r="E250" s="28" t="s">
        <v>1450</v>
      </c>
      <c r="F250" s="32" t="n">
        <v>-4507.38</v>
      </c>
      <c r="G250" s="28" t="s">
        <v>108</v>
      </c>
      <c r="H250" s="28" t="s">
        <v>1451</v>
      </c>
      <c r="I250" s="28" t="s">
        <v>889</v>
      </c>
      <c r="J250" s="28" t="s">
        <v>889</v>
      </c>
      <c r="K250" s="28" t="s">
        <v>1452</v>
      </c>
      <c r="L250" s="28" t="s">
        <v>899</v>
      </c>
      <c r="M250" s="28"/>
      <c r="N250" s="28"/>
      <c r="O250" s="28"/>
      <c r="P250" s="28"/>
    </row>
    <row r="251" customFormat="false" ht="15" hidden="false" customHeight="false" outlineLevel="0" collapsed="false">
      <c r="A251" s="28" t="s">
        <v>1453</v>
      </c>
      <c r="B251" s="28" t="s">
        <v>877</v>
      </c>
      <c r="C251" s="28" t="s">
        <v>104</v>
      </c>
      <c r="D251" s="28" t="s">
        <v>1449</v>
      </c>
      <c r="E251" s="28" t="s">
        <v>1450</v>
      </c>
      <c r="F251" s="32" t="n">
        <v>-5478.74</v>
      </c>
      <c r="G251" s="28" t="s">
        <v>108</v>
      </c>
      <c r="H251" s="28" t="s">
        <v>1454</v>
      </c>
      <c r="I251" s="28" t="s">
        <v>881</v>
      </c>
      <c r="J251" s="28" t="s">
        <v>881</v>
      </c>
      <c r="K251" s="28" t="s">
        <v>1455</v>
      </c>
      <c r="L251" s="28" t="s">
        <v>899</v>
      </c>
      <c r="M251" s="28"/>
      <c r="N251" s="28"/>
      <c r="O251" s="28"/>
      <c r="P251" s="28"/>
    </row>
    <row r="252" customFormat="false" ht="15" hidden="false" customHeight="false" outlineLevel="0" collapsed="false">
      <c r="A252" s="28" t="s">
        <v>1456</v>
      </c>
      <c r="B252" s="28" t="s">
        <v>877</v>
      </c>
      <c r="C252" s="28" t="s">
        <v>104</v>
      </c>
      <c r="D252" s="28" t="s">
        <v>1457</v>
      </c>
      <c r="E252" s="28" t="s">
        <v>1458</v>
      </c>
      <c r="F252" s="32" t="n">
        <v>5478.74</v>
      </c>
      <c r="G252" s="28" t="s">
        <v>108</v>
      </c>
      <c r="H252" s="28" t="s">
        <v>1454</v>
      </c>
      <c r="I252" s="28" t="s">
        <v>881</v>
      </c>
      <c r="J252" s="28" t="s">
        <v>881</v>
      </c>
      <c r="K252" s="28" t="s">
        <v>1455</v>
      </c>
      <c r="L252" s="28" t="s">
        <v>899</v>
      </c>
      <c r="M252" s="28"/>
      <c r="N252" s="28"/>
      <c r="O252" s="28"/>
      <c r="P252" s="28"/>
    </row>
    <row r="253" customFormat="false" ht="15" hidden="false" customHeight="false" outlineLevel="0" collapsed="false">
      <c r="A253" s="28" t="s">
        <v>1459</v>
      </c>
      <c r="B253" s="28" t="s">
        <v>877</v>
      </c>
      <c r="C253" s="28" t="s">
        <v>104</v>
      </c>
      <c r="D253" s="28" t="s">
        <v>1457</v>
      </c>
      <c r="E253" s="28" t="s">
        <v>1458</v>
      </c>
      <c r="F253" s="32" t="n">
        <v>4507.38</v>
      </c>
      <c r="G253" s="28" t="s">
        <v>108</v>
      </c>
      <c r="H253" s="28" t="s">
        <v>1451</v>
      </c>
      <c r="I253" s="28" t="s">
        <v>889</v>
      </c>
      <c r="J253" s="28" t="s">
        <v>889</v>
      </c>
      <c r="K253" s="28"/>
      <c r="L253" s="28" t="s">
        <v>899</v>
      </c>
      <c r="M253" s="28"/>
      <c r="N253" s="28"/>
      <c r="O253" s="28"/>
      <c r="P253" s="28"/>
    </row>
    <row r="254" customFormat="false" ht="15" hidden="false" customHeight="false" outlineLevel="0" collapsed="false">
      <c r="A254" s="28" t="s">
        <v>1460</v>
      </c>
      <c r="B254" s="28" t="s">
        <v>877</v>
      </c>
      <c r="C254" s="28" t="s">
        <v>104</v>
      </c>
      <c r="D254" s="28" t="s">
        <v>1457</v>
      </c>
      <c r="E254" s="28" t="s">
        <v>1458</v>
      </c>
      <c r="F254" s="32" t="n">
        <v>1095.75</v>
      </c>
      <c r="G254" s="28" t="s">
        <v>108</v>
      </c>
      <c r="H254" s="28" t="s">
        <v>1461</v>
      </c>
      <c r="I254" s="28" t="s">
        <v>881</v>
      </c>
      <c r="J254" s="28" t="s">
        <v>881</v>
      </c>
      <c r="K254" s="28" t="s">
        <v>1455</v>
      </c>
      <c r="L254" s="28" t="s">
        <v>899</v>
      </c>
      <c r="M254" s="28"/>
      <c r="N254" s="28"/>
      <c r="O254" s="28"/>
      <c r="P254" s="28"/>
    </row>
    <row r="255" customFormat="false" ht="15" hidden="false" customHeight="false" outlineLevel="0" collapsed="false">
      <c r="A255" s="28" t="s">
        <v>1462</v>
      </c>
      <c r="B255" s="28" t="s">
        <v>877</v>
      </c>
      <c r="C255" s="28" t="s">
        <v>104</v>
      </c>
      <c r="D255" s="28" t="s">
        <v>1457</v>
      </c>
      <c r="E255" s="28" t="s">
        <v>1458</v>
      </c>
      <c r="F255" s="32" t="n">
        <v>901.48</v>
      </c>
      <c r="G255" s="28" t="s">
        <v>108</v>
      </c>
      <c r="H255" s="28" t="s">
        <v>1463</v>
      </c>
      <c r="I255" s="28" t="s">
        <v>889</v>
      </c>
      <c r="J255" s="28" t="s">
        <v>889</v>
      </c>
      <c r="K255" s="28" t="s">
        <v>1464</v>
      </c>
      <c r="L255" s="28" t="s">
        <v>899</v>
      </c>
      <c r="M255" s="28"/>
      <c r="N255" s="28"/>
      <c r="O255" s="28"/>
      <c r="P255" s="28"/>
    </row>
    <row r="256" customFormat="false" ht="15" hidden="false" customHeight="false" outlineLevel="0" collapsed="false">
      <c r="A256" s="28" t="s">
        <v>1465</v>
      </c>
      <c r="B256" s="28" t="s">
        <v>1466</v>
      </c>
      <c r="C256" s="28" t="s">
        <v>1467</v>
      </c>
      <c r="D256" s="28" t="s">
        <v>1468</v>
      </c>
      <c r="E256" s="28" t="s">
        <v>908</v>
      </c>
      <c r="F256" s="32" t="n">
        <v>870.49</v>
      </c>
      <c r="G256" s="28" t="s">
        <v>108</v>
      </c>
      <c r="H256" s="28" t="s">
        <v>909</v>
      </c>
      <c r="I256" s="28" t="s">
        <v>910</v>
      </c>
      <c r="J256" s="28" t="s">
        <v>910</v>
      </c>
      <c r="K256" s="28"/>
      <c r="L256" s="28" t="s">
        <v>911</v>
      </c>
      <c r="M256" s="28"/>
      <c r="N256" s="28"/>
      <c r="O256" s="28"/>
      <c r="P256" s="28"/>
    </row>
    <row r="257" customFormat="false" ht="15" hidden="false" customHeight="false" outlineLevel="0" collapsed="false">
      <c r="A257" s="28" t="s">
        <v>1469</v>
      </c>
      <c r="B257" s="28" t="s">
        <v>1470</v>
      </c>
      <c r="C257" s="28" t="s">
        <v>1471</v>
      </c>
      <c r="D257" s="28" t="s">
        <v>1468</v>
      </c>
      <c r="E257" s="28" t="s">
        <v>908</v>
      </c>
      <c r="F257" s="32" t="n">
        <v>405.85</v>
      </c>
      <c r="G257" s="28" t="s">
        <v>108</v>
      </c>
      <c r="H257" s="28" t="s">
        <v>926</v>
      </c>
      <c r="I257" s="28" t="s">
        <v>881</v>
      </c>
      <c r="J257" s="28" t="s">
        <v>881</v>
      </c>
      <c r="K257" s="28"/>
      <c r="L257" s="28" t="s">
        <v>911</v>
      </c>
      <c r="M257" s="28"/>
      <c r="N257" s="28"/>
      <c r="O257" s="28"/>
      <c r="P257" s="28"/>
    </row>
    <row r="258" customFormat="false" ht="15" hidden="false" customHeight="false" outlineLevel="0" collapsed="false">
      <c r="A258" s="28" t="s">
        <v>1472</v>
      </c>
      <c r="B258" s="28" t="s">
        <v>1466</v>
      </c>
      <c r="C258" s="28" t="s">
        <v>1467</v>
      </c>
      <c r="D258" s="28" t="s">
        <v>1468</v>
      </c>
      <c r="E258" s="28" t="s">
        <v>908</v>
      </c>
      <c r="F258" s="32" t="n">
        <v>-870.49</v>
      </c>
      <c r="G258" s="28" t="s">
        <v>108</v>
      </c>
      <c r="H258" s="28" t="s">
        <v>913</v>
      </c>
      <c r="I258" s="28" t="s">
        <v>910</v>
      </c>
      <c r="J258" s="28" t="s">
        <v>910</v>
      </c>
      <c r="K258" s="28"/>
      <c r="L258" s="28" t="s">
        <v>911</v>
      </c>
      <c r="M258" s="28"/>
      <c r="N258" s="28"/>
      <c r="O258" s="28"/>
      <c r="P258" s="28"/>
    </row>
    <row r="259" customFormat="false" ht="15" hidden="false" customHeight="false" outlineLevel="0" collapsed="false">
      <c r="A259" s="28" t="s">
        <v>1473</v>
      </c>
      <c r="B259" s="28" t="s">
        <v>1466</v>
      </c>
      <c r="C259" s="28" t="s">
        <v>1467</v>
      </c>
      <c r="D259" s="28" t="s">
        <v>1468</v>
      </c>
      <c r="E259" s="28" t="s">
        <v>908</v>
      </c>
      <c r="F259" s="32" t="n">
        <v>13331.9</v>
      </c>
      <c r="G259" s="28" t="s">
        <v>108</v>
      </c>
      <c r="H259" s="28" t="s">
        <v>926</v>
      </c>
      <c r="I259" s="28" t="s">
        <v>881</v>
      </c>
      <c r="J259" s="28" t="s">
        <v>881</v>
      </c>
      <c r="K259" s="28"/>
      <c r="L259" s="28" t="s">
        <v>911</v>
      </c>
      <c r="M259" s="28"/>
      <c r="N259" s="28"/>
      <c r="O259" s="28"/>
      <c r="P259" s="28"/>
    </row>
    <row r="260" customFormat="false" ht="15" hidden="false" customHeight="false" outlineLevel="0" collapsed="false">
      <c r="A260" s="28" t="s">
        <v>1474</v>
      </c>
      <c r="B260" s="28" t="s">
        <v>1466</v>
      </c>
      <c r="C260" s="28" t="s">
        <v>1467</v>
      </c>
      <c r="D260" s="28" t="s">
        <v>1468</v>
      </c>
      <c r="E260" s="28" t="s">
        <v>908</v>
      </c>
      <c r="F260" s="32" t="n">
        <v>18342.12</v>
      </c>
      <c r="G260" s="28" t="s">
        <v>108</v>
      </c>
      <c r="H260" s="28" t="s">
        <v>917</v>
      </c>
      <c r="I260" s="28" t="s">
        <v>889</v>
      </c>
      <c r="J260" s="28" t="s">
        <v>889</v>
      </c>
      <c r="K260" s="28"/>
      <c r="L260" s="28" t="s">
        <v>911</v>
      </c>
      <c r="M260" s="28"/>
      <c r="N260" s="28"/>
      <c r="O260" s="28"/>
      <c r="P260" s="28"/>
    </row>
    <row r="261" customFormat="false" ht="15" hidden="false" customHeight="false" outlineLevel="0" collapsed="false">
      <c r="A261" s="28" t="s">
        <v>1475</v>
      </c>
      <c r="B261" s="28" t="s">
        <v>1476</v>
      </c>
      <c r="C261" s="28" t="s">
        <v>1477</v>
      </c>
      <c r="D261" s="28" t="s">
        <v>1468</v>
      </c>
      <c r="E261" s="28" t="s">
        <v>908</v>
      </c>
      <c r="F261" s="32" t="n">
        <v>-120.61</v>
      </c>
      <c r="G261" s="28" t="s">
        <v>108</v>
      </c>
      <c r="H261" s="28" t="s">
        <v>929</v>
      </c>
      <c r="I261" s="28" t="s">
        <v>910</v>
      </c>
      <c r="J261" s="28" t="s">
        <v>910</v>
      </c>
      <c r="K261" s="28"/>
      <c r="L261" s="28" t="s">
        <v>911</v>
      </c>
      <c r="M261" s="28"/>
      <c r="N261" s="28"/>
      <c r="O261" s="28"/>
      <c r="P261" s="28"/>
    </row>
    <row r="262" customFormat="false" ht="15" hidden="false" customHeight="false" outlineLevel="0" collapsed="false">
      <c r="A262" s="28" t="s">
        <v>1478</v>
      </c>
      <c r="B262" s="28" t="s">
        <v>1470</v>
      </c>
      <c r="C262" s="28" t="s">
        <v>1471</v>
      </c>
      <c r="D262" s="28" t="s">
        <v>1468</v>
      </c>
      <c r="E262" s="28" t="s">
        <v>908</v>
      </c>
      <c r="F262" s="32" t="n">
        <v>-26.49</v>
      </c>
      <c r="G262" s="28" t="s">
        <v>108</v>
      </c>
      <c r="H262" s="28" t="s">
        <v>929</v>
      </c>
      <c r="I262" s="28" t="s">
        <v>910</v>
      </c>
      <c r="J262" s="28" t="s">
        <v>910</v>
      </c>
      <c r="K262" s="28"/>
      <c r="L262" s="28" t="s">
        <v>911</v>
      </c>
      <c r="M262" s="28"/>
      <c r="N262" s="28"/>
      <c r="O262" s="28"/>
      <c r="P262" s="28"/>
    </row>
    <row r="263" customFormat="false" ht="15" hidden="false" customHeight="false" outlineLevel="0" collapsed="false">
      <c r="A263" s="28" t="s">
        <v>1479</v>
      </c>
      <c r="B263" s="28" t="s">
        <v>1476</v>
      </c>
      <c r="C263" s="28" t="s">
        <v>1477</v>
      </c>
      <c r="D263" s="28" t="s">
        <v>1468</v>
      </c>
      <c r="E263" s="28" t="s">
        <v>908</v>
      </c>
      <c r="F263" s="32" t="n">
        <v>1847.31</v>
      </c>
      <c r="G263" s="28" t="s">
        <v>108</v>
      </c>
      <c r="H263" s="28" t="s">
        <v>926</v>
      </c>
      <c r="I263" s="28" t="s">
        <v>881</v>
      </c>
      <c r="J263" s="28" t="s">
        <v>881</v>
      </c>
      <c r="K263" s="28"/>
      <c r="L263" s="28" t="s">
        <v>911</v>
      </c>
      <c r="M263" s="28"/>
      <c r="N263" s="28"/>
      <c r="O263" s="28"/>
      <c r="P263" s="28"/>
    </row>
    <row r="264" customFormat="false" ht="15" hidden="false" customHeight="false" outlineLevel="0" collapsed="false">
      <c r="A264" s="28" t="s">
        <v>1480</v>
      </c>
      <c r="B264" s="28" t="s">
        <v>1476</v>
      </c>
      <c r="C264" s="28" t="s">
        <v>1477</v>
      </c>
      <c r="D264" s="28" t="s">
        <v>1468</v>
      </c>
      <c r="E264" s="28" t="s">
        <v>908</v>
      </c>
      <c r="F264" s="32" t="n">
        <v>1926.68</v>
      </c>
      <c r="G264" s="28" t="s">
        <v>108</v>
      </c>
      <c r="H264" s="28" t="s">
        <v>917</v>
      </c>
      <c r="I264" s="28" t="s">
        <v>889</v>
      </c>
      <c r="J264" s="28" t="s">
        <v>889</v>
      </c>
      <c r="K264" s="28"/>
      <c r="L264" s="28" t="s">
        <v>911</v>
      </c>
      <c r="M264" s="28"/>
      <c r="N264" s="28"/>
      <c r="O264" s="28"/>
      <c r="P264" s="28"/>
    </row>
    <row r="265" customFormat="false" ht="15" hidden="false" customHeight="false" outlineLevel="0" collapsed="false">
      <c r="A265" s="28" t="s">
        <v>1481</v>
      </c>
      <c r="B265" s="28" t="s">
        <v>1470</v>
      </c>
      <c r="C265" s="28" t="s">
        <v>1471</v>
      </c>
      <c r="D265" s="28" t="s">
        <v>1468</v>
      </c>
      <c r="E265" s="28" t="s">
        <v>908</v>
      </c>
      <c r="F265" s="32" t="n">
        <v>518.25</v>
      </c>
      <c r="G265" s="28" t="s">
        <v>108</v>
      </c>
      <c r="H265" s="28" t="s">
        <v>917</v>
      </c>
      <c r="I265" s="28" t="s">
        <v>889</v>
      </c>
      <c r="J265" s="28" t="s">
        <v>889</v>
      </c>
      <c r="K265" s="28"/>
      <c r="L265" s="28" t="s">
        <v>911</v>
      </c>
      <c r="M265" s="28"/>
      <c r="N265" s="28"/>
      <c r="O265" s="28"/>
      <c r="P265" s="28"/>
    </row>
    <row r="266" customFormat="false" ht="15" hidden="false" customHeight="false" outlineLevel="0" collapsed="false">
      <c r="A266" s="28" t="s">
        <v>1482</v>
      </c>
      <c r="B266" s="28" t="s">
        <v>1466</v>
      </c>
      <c r="C266" s="28" t="s">
        <v>1467</v>
      </c>
      <c r="D266" s="28" t="s">
        <v>1468</v>
      </c>
      <c r="E266" s="28" t="s">
        <v>908</v>
      </c>
      <c r="F266" s="32" t="n">
        <v>-870.49</v>
      </c>
      <c r="G266" s="28" t="s">
        <v>108</v>
      </c>
      <c r="H266" s="28" t="s">
        <v>929</v>
      </c>
      <c r="I266" s="28" t="s">
        <v>910</v>
      </c>
      <c r="J266" s="28" t="s">
        <v>910</v>
      </c>
      <c r="K266" s="28"/>
      <c r="L266" s="28" t="s">
        <v>911</v>
      </c>
      <c r="M266" s="28"/>
      <c r="N266" s="28"/>
      <c r="O266" s="28"/>
      <c r="P266" s="28"/>
    </row>
    <row r="267" customFormat="false" ht="15" hidden="false" customHeight="false" outlineLevel="0" collapsed="false">
      <c r="A267" s="28" t="s">
        <v>1483</v>
      </c>
      <c r="B267" s="28" t="s">
        <v>1470</v>
      </c>
      <c r="C267" s="28" t="s">
        <v>1471</v>
      </c>
      <c r="D267" s="28" t="s">
        <v>1468</v>
      </c>
      <c r="E267" s="28" t="s">
        <v>908</v>
      </c>
      <c r="F267" s="32" t="n">
        <v>-26.49</v>
      </c>
      <c r="G267" s="28" t="s">
        <v>108</v>
      </c>
      <c r="H267" s="28" t="s">
        <v>913</v>
      </c>
      <c r="I267" s="28" t="s">
        <v>910</v>
      </c>
      <c r="J267" s="28" t="s">
        <v>910</v>
      </c>
      <c r="K267" s="28"/>
      <c r="L267" s="28" t="s">
        <v>911</v>
      </c>
      <c r="M267" s="28"/>
      <c r="N267" s="28"/>
      <c r="O267" s="28"/>
      <c r="P267" s="28"/>
    </row>
    <row r="268" customFormat="false" ht="15" hidden="false" customHeight="false" outlineLevel="0" collapsed="false">
      <c r="A268" s="28" t="s">
        <v>1484</v>
      </c>
      <c r="B268" s="28" t="s">
        <v>1470</v>
      </c>
      <c r="C268" s="28" t="s">
        <v>1471</v>
      </c>
      <c r="D268" s="28" t="s">
        <v>1468</v>
      </c>
      <c r="E268" s="28" t="s">
        <v>908</v>
      </c>
      <c r="F268" s="32" t="n">
        <v>26.49</v>
      </c>
      <c r="G268" s="28" t="s">
        <v>108</v>
      </c>
      <c r="H268" s="28" t="s">
        <v>909</v>
      </c>
      <c r="I268" s="28" t="s">
        <v>910</v>
      </c>
      <c r="J268" s="28" t="s">
        <v>910</v>
      </c>
      <c r="K268" s="28"/>
      <c r="L268" s="28" t="s">
        <v>911</v>
      </c>
      <c r="M268" s="28"/>
      <c r="N268" s="28"/>
      <c r="O268" s="28"/>
      <c r="P268" s="28"/>
    </row>
    <row r="269" customFormat="false" ht="15" hidden="false" customHeight="false" outlineLevel="0" collapsed="false">
      <c r="A269" s="28" t="s">
        <v>1485</v>
      </c>
      <c r="B269" s="28" t="s">
        <v>1466</v>
      </c>
      <c r="C269" s="28" t="s">
        <v>1467</v>
      </c>
      <c r="D269" s="28" t="s">
        <v>1486</v>
      </c>
      <c r="E269" s="28" t="s">
        <v>959</v>
      </c>
      <c r="F269" s="32" t="n">
        <v>21346.14</v>
      </c>
      <c r="G269" s="28" t="s">
        <v>108</v>
      </c>
      <c r="H269" s="28" t="s">
        <v>960</v>
      </c>
      <c r="I269" s="28" t="s">
        <v>889</v>
      </c>
      <c r="J269" s="28" t="s">
        <v>889</v>
      </c>
      <c r="K269" s="28" t="s">
        <v>961</v>
      </c>
      <c r="L269" s="28" t="s">
        <v>911</v>
      </c>
      <c r="M269" s="28" t="s">
        <v>962</v>
      </c>
      <c r="N269" s="28"/>
      <c r="O269" s="28"/>
      <c r="P269" s="28"/>
    </row>
    <row r="270" customFormat="false" ht="15" hidden="false" customHeight="false" outlineLevel="0" collapsed="false">
      <c r="A270" s="28" t="s">
        <v>1487</v>
      </c>
      <c r="B270" s="28" t="s">
        <v>1476</v>
      </c>
      <c r="C270" s="28" t="s">
        <v>1477</v>
      </c>
      <c r="D270" s="28" t="s">
        <v>1486</v>
      </c>
      <c r="E270" s="28" t="s">
        <v>959</v>
      </c>
      <c r="F270" s="32" t="n">
        <v>2066.72</v>
      </c>
      <c r="G270" s="28" t="s">
        <v>108</v>
      </c>
      <c r="H270" s="28" t="s">
        <v>964</v>
      </c>
      <c r="I270" s="28" t="s">
        <v>881</v>
      </c>
      <c r="J270" s="28" t="s">
        <v>881</v>
      </c>
      <c r="K270" s="28" t="s">
        <v>965</v>
      </c>
      <c r="L270" s="28" t="s">
        <v>911</v>
      </c>
      <c r="M270" s="28" t="s">
        <v>962</v>
      </c>
      <c r="N270" s="28"/>
      <c r="O270" s="28"/>
      <c r="P270" s="28"/>
    </row>
    <row r="271" customFormat="false" ht="15" hidden="false" customHeight="false" outlineLevel="0" collapsed="false">
      <c r="A271" s="28" t="s">
        <v>1488</v>
      </c>
      <c r="B271" s="28" t="s">
        <v>1466</v>
      </c>
      <c r="C271" s="28" t="s">
        <v>1467</v>
      </c>
      <c r="D271" s="28" t="s">
        <v>1486</v>
      </c>
      <c r="E271" s="28" t="s">
        <v>959</v>
      </c>
      <c r="F271" s="32" t="n">
        <v>18552.53</v>
      </c>
      <c r="G271" s="28" t="s">
        <v>108</v>
      </c>
      <c r="H271" s="28" t="s">
        <v>964</v>
      </c>
      <c r="I271" s="28" t="s">
        <v>881</v>
      </c>
      <c r="J271" s="28" t="s">
        <v>881</v>
      </c>
      <c r="K271" s="28" t="s">
        <v>965</v>
      </c>
      <c r="L271" s="28" t="s">
        <v>911</v>
      </c>
      <c r="M271" s="28" t="s">
        <v>962</v>
      </c>
      <c r="N271" s="28"/>
      <c r="O271" s="28"/>
      <c r="P271" s="28"/>
    </row>
    <row r="272" customFormat="false" ht="15" hidden="false" customHeight="false" outlineLevel="0" collapsed="false">
      <c r="A272" s="28" t="s">
        <v>1489</v>
      </c>
      <c r="B272" s="28" t="s">
        <v>1470</v>
      </c>
      <c r="C272" s="28" t="s">
        <v>1471</v>
      </c>
      <c r="D272" s="28" t="s">
        <v>1486</v>
      </c>
      <c r="E272" s="28" t="s">
        <v>959</v>
      </c>
      <c r="F272" s="32" t="n">
        <v>15402.01</v>
      </c>
      <c r="G272" s="28" t="s">
        <v>108</v>
      </c>
      <c r="H272" s="28" t="s">
        <v>960</v>
      </c>
      <c r="I272" s="28" t="s">
        <v>889</v>
      </c>
      <c r="J272" s="28" t="s">
        <v>889</v>
      </c>
      <c r="K272" s="28" t="s">
        <v>961</v>
      </c>
      <c r="L272" s="28" t="s">
        <v>911</v>
      </c>
      <c r="M272" s="28" t="s">
        <v>962</v>
      </c>
      <c r="N272" s="28"/>
      <c r="O272" s="28"/>
      <c r="P272" s="28"/>
    </row>
    <row r="273" customFormat="false" ht="15" hidden="false" customHeight="false" outlineLevel="0" collapsed="false">
      <c r="A273" s="28" t="s">
        <v>1490</v>
      </c>
      <c r="B273" s="28" t="s">
        <v>1476</v>
      </c>
      <c r="C273" s="28" t="s">
        <v>1477</v>
      </c>
      <c r="D273" s="28" t="s">
        <v>1486</v>
      </c>
      <c r="E273" s="28" t="s">
        <v>959</v>
      </c>
      <c r="F273" s="32" t="n">
        <v>2378.86</v>
      </c>
      <c r="G273" s="28" t="s">
        <v>108</v>
      </c>
      <c r="H273" s="28" t="s">
        <v>960</v>
      </c>
      <c r="I273" s="28" t="s">
        <v>889</v>
      </c>
      <c r="J273" s="28" t="s">
        <v>889</v>
      </c>
      <c r="K273" s="28" t="s">
        <v>961</v>
      </c>
      <c r="L273" s="28" t="s">
        <v>911</v>
      </c>
      <c r="M273" s="28" t="s">
        <v>962</v>
      </c>
      <c r="N273" s="28"/>
      <c r="O273" s="28"/>
      <c r="P273" s="28"/>
    </row>
    <row r="274" customFormat="false" ht="15" hidden="false" customHeight="false" outlineLevel="0" collapsed="false">
      <c r="A274" s="28" t="s">
        <v>1491</v>
      </c>
      <c r="B274" s="28" t="s">
        <v>1470</v>
      </c>
      <c r="C274" s="28" t="s">
        <v>1471</v>
      </c>
      <c r="D274" s="28" t="s">
        <v>1486</v>
      </c>
      <c r="E274" s="28" t="s">
        <v>959</v>
      </c>
      <c r="F274" s="32" t="n">
        <v>13385.72</v>
      </c>
      <c r="G274" s="28" t="s">
        <v>108</v>
      </c>
      <c r="H274" s="28" t="s">
        <v>964</v>
      </c>
      <c r="I274" s="28" t="s">
        <v>881</v>
      </c>
      <c r="J274" s="28" t="s">
        <v>881</v>
      </c>
      <c r="K274" s="28" t="s">
        <v>965</v>
      </c>
      <c r="L274" s="28" t="s">
        <v>911</v>
      </c>
      <c r="M274" s="28" t="s">
        <v>962</v>
      </c>
      <c r="N274" s="28"/>
      <c r="O274" s="28"/>
      <c r="P274" s="28"/>
    </row>
    <row r="275" customFormat="false" ht="15" hidden="false" customHeight="false" outlineLevel="0" collapsed="false">
      <c r="A275" s="28" t="s">
        <v>1492</v>
      </c>
      <c r="B275" s="28" t="s">
        <v>1466</v>
      </c>
      <c r="C275" s="28" t="s">
        <v>1467</v>
      </c>
      <c r="D275" s="28" t="s">
        <v>1493</v>
      </c>
      <c r="E275" s="28" t="s">
        <v>1002</v>
      </c>
      <c r="F275" s="32" t="n">
        <v>652.01</v>
      </c>
      <c r="G275" s="28" t="s">
        <v>108</v>
      </c>
      <c r="H275" s="28" t="s">
        <v>1494</v>
      </c>
      <c r="I275" s="28" t="s">
        <v>1495</v>
      </c>
      <c r="J275" s="28" t="s">
        <v>1495</v>
      </c>
      <c r="K275" s="28" t="s">
        <v>1496</v>
      </c>
      <c r="L275" s="28" t="s">
        <v>1006</v>
      </c>
      <c r="M275" s="28"/>
      <c r="N275" s="28"/>
      <c r="O275" s="28"/>
      <c r="P275" s="28"/>
    </row>
    <row r="276" customFormat="false" ht="15" hidden="false" customHeight="false" outlineLevel="0" collapsed="false">
      <c r="A276" s="28" t="s">
        <v>1497</v>
      </c>
      <c r="B276" s="28" t="s">
        <v>1466</v>
      </c>
      <c r="C276" s="28" t="s">
        <v>1467</v>
      </c>
      <c r="D276" s="28" t="s">
        <v>1493</v>
      </c>
      <c r="E276" s="28" t="s">
        <v>1002</v>
      </c>
      <c r="F276" s="32" t="n">
        <v>1024.96</v>
      </c>
      <c r="G276" s="28" t="s">
        <v>108</v>
      </c>
      <c r="H276" s="28" t="s">
        <v>1498</v>
      </c>
      <c r="I276" s="28" t="s">
        <v>1499</v>
      </c>
      <c r="J276" s="28" t="s">
        <v>1499</v>
      </c>
      <c r="K276" s="28" t="s">
        <v>1496</v>
      </c>
      <c r="L276" s="28" t="s">
        <v>1006</v>
      </c>
      <c r="M276" s="28"/>
      <c r="N276" s="28"/>
      <c r="O276" s="28"/>
      <c r="P276" s="28"/>
    </row>
    <row r="277" customFormat="false" ht="15" hidden="false" customHeight="false" outlineLevel="0" collapsed="false">
      <c r="A277" s="28" t="s">
        <v>1500</v>
      </c>
      <c r="B277" s="28" t="s">
        <v>1466</v>
      </c>
      <c r="C277" s="28" t="s">
        <v>1467</v>
      </c>
      <c r="D277" s="28" t="s">
        <v>1493</v>
      </c>
      <c r="E277" s="28" t="s">
        <v>1002</v>
      </c>
      <c r="F277" s="32" t="n">
        <v>525.64</v>
      </c>
      <c r="G277" s="28" t="s">
        <v>108</v>
      </c>
      <c r="H277" s="28" t="s">
        <v>1501</v>
      </c>
      <c r="I277" s="28" t="s">
        <v>1087</v>
      </c>
      <c r="J277" s="28" t="s">
        <v>1087</v>
      </c>
      <c r="K277" s="28" t="s">
        <v>1496</v>
      </c>
      <c r="L277" s="28" t="s">
        <v>1006</v>
      </c>
      <c r="M277" s="28"/>
      <c r="N277" s="28"/>
      <c r="O277" s="28"/>
      <c r="P277" s="28"/>
    </row>
    <row r="278" customFormat="false" ht="15" hidden="false" customHeight="false" outlineLevel="0" collapsed="false">
      <c r="A278" s="28" t="s">
        <v>1502</v>
      </c>
      <c r="B278" s="28" t="s">
        <v>1470</v>
      </c>
      <c r="C278" s="28" t="s">
        <v>1471</v>
      </c>
      <c r="D278" s="28" t="s">
        <v>1493</v>
      </c>
      <c r="E278" s="28" t="s">
        <v>1002</v>
      </c>
      <c r="F278" s="32" t="n">
        <v>305.01</v>
      </c>
      <c r="G278" s="28" t="s">
        <v>108</v>
      </c>
      <c r="H278" s="28" t="s">
        <v>1503</v>
      </c>
      <c r="I278" s="28" t="s">
        <v>1504</v>
      </c>
      <c r="J278" s="28" t="s">
        <v>1504</v>
      </c>
      <c r="K278" s="28" t="s">
        <v>1496</v>
      </c>
      <c r="L278" s="28" t="s">
        <v>1006</v>
      </c>
      <c r="M278" s="28"/>
      <c r="N278" s="28"/>
      <c r="O278" s="28"/>
      <c r="P278" s="28"/>
    </row>
    <row r="279" customFormat="false" ht="15" hidden="false" customHeight="false" outlineLevel="0" collapsed="false">
      <c r="A279" s="28" t="s">
        <v>1505</v>
      </c>
      <c r="B279" s="28" t="s">
        <v>1466</v>
      </c>
      <c r="C279" s="28" t="s">
        <v>1467</v>
      </c>
      <c r="D279" s="28" t="s">
        <v>1493</v>
      </c>
      <c r="E279" s="28" t="s">
        <v>1002</v>
      </c>
      <c r="F279" s="32" t="n">
        <v>324.01</v>
      </c>
      <c r="G279" s="28" t="s">
        <v>108</v>
      </c>
      <c r="H279" s="28" t="s">
        <v>1506</v>
      </c>
      <c r="I279" s="28" t="s">
        <v>1074</v>
      </c>
      <c r="J279" s="28" t="s">
        <v>1074</v>
      </c>
      <c r="K279" s="28" t="s">
        <v>1496</v>
      </c>
      <c r="L279" s="28" t="s">
        <v>1006</v>
      </c>
      <c r="M279" s="28"/>
      <c r="N279" s="28"/>
      <c r="O279" s="28"/>
      <c r="P279" s="28"/>
    </row>
    <row r="280" customFormat="false" ht="15" hidden="false" customHeight="false" outlineLevel="0" collapsed="false">
      <c r="A280" s="28" t="s">
        <v>1507</v>
      </c>
      <c r="B280" s="28" t="s">
        <v>1466</v>
      </c>
      <c r="C280" s="28" t="s">
        <v>1467</v>
      </c>
      <c r="D280" s="28" t="s">
        <v>1493</v>
      </c>
      <c r="E280" s="28" t="s">
        <v>1002</v>
      </c>
      <c r="F280" s="32" t="n">
        <v>832.04</v>
      </c>
      <c r="G280" s="28" t="s">
        <v>108</v>
      </c>
      <c r="H280" s="28" t="s">
        <v>1508</v>
      </c>
      <c r="I280" s="28" t="s">
        <v>1026</v>
      </c>
      <c r="J280" s="28" t="s">
        <v>1026</v>
      </c>
      <c r="K280" s="28" t="s">
        <v>1496</v>
      </c>
      <c r="L280" s="28" t="s">
        <v>1006</v>
      </c>
      <c r="M280" s="28"/>
      <c r="N280" s="28"/>
      <c r="O280" s="28"/>
      <c r="P280" s="28"/>
    </row>
    <row r="281" customFormat="false" ht="15" hidden="false" customHeight="false" outlineLevel="0" collapsed="false">
      <c r="A281" s="28" t="s">
        <v>1509</v>
      </c>
      <c r="B281" s="28" t="s">
        <v>1466</v>
      </c>
      <c r="C281" s="28" t="s">
        <v>1467</v>
      </c>
      <c r="D281" s="28" t="s">
        <v>1493</v>
      </c>
      <c r="E281" s="28" t="s">
        <v>1002</v>
      </c>
      <c r="F281" s="32" t="n">
        <v>1644.6</v>
      </c>
      <c r="G281" s="28" t="s">
        <v>108</v>
      </c>
      <c r="H281" s="28" t="s">
        <v>1510</v>
      </c>
      <c r="I281" s="28" t="s">
        <v>1511</v>
      </c>
      <c r="J281" s="28" t="s">
        <v>1511</v>
      </c>
      <c r="K281" s="28" t="s">
        <v>1496</v>
      </c>
      <c r="L281" s="28" t="s">
        <v>1006</v>
      </c>
      <c r="M281" s="28"/>
      <c r="N281" s="28"/>
      <c r="O281" s="28"/>
      <c r="P281" s="28"/>
    </row>
    <row r="282" customFormat="false" ht="15" hidden="false" customHeight="false" outlineLevel="0" collapsed="false">
      <c r="A282" s="28" t="s">
        <v>1512</v>
      </c>
      <c r="B282" s="28" t="s">
        <v>1466</v>
      </c>
      <c r="C282" s="28" t="s">
        <v>1467</v>
      </c>
      <c r="D282" s="28" t="s">
        <v>1493</v>
      </c>
      <c r="E282" s="28" t="s">
        <v>1002</v>
      </c>
      <c r="F282" s="32" t="n">
        <v>133.84</v>
      </c>
      <c r="G282" s="28" t="s">
        <v>108</v>
      </c>
      <c r="H282" s="28" t="s">
        <v>1513</v>
      </c>
      <c r="I282" s="28" t="s">
        <v>1514</v>
      </c>
      <c r="J282" s="28" t="s">
        <v>1514</v>
      </c>
      <c r="K282" s="28" t="s">
        <v>1496</v>
      </c>
      <c r="L282" s="28" t="s">
        <v>1014</v>
      </c>
      <c r="M282" s="28"/>
      <c r="N282" s="28"/>
      <c r="O282" s="28"/>
      <c r="P282" s="28"/>
    </row>
    <row r="283" customFormat="false" ht="15" hidden="false" customHeight="false" outlineLevel="0" collapsed="false">
      <c r="A283" s="28" t="s">
        <v>1515</v>
      </c>
      <c r="B283" s="28" t="s">
        <v>1466</v>
      </c>
      <c r="C283" s="28" t="s">
        <v>1467</v>
      </c>
      <c r="D283" s="28" t="s">
        <v>1493</v>
      </c>
      <c r="E283" s="28" t="s">
        <v>1002</v>
      </c>
      <c r="F283" s="32" t="n">
        <v>610.01</v>
      </c>
      <c r="G283" s="28" t="s">
        <v>108</v>
      </c>
      <c r="H283" s="28" t="s">
        <v>1516</v>
      </c>
      <c r="I283" s="28" t="s">
        <v>982</v>
      </c>
      <c r="J283" s="28" t="s">
        <v>982</v>
      </c>
      <c r="K283" s="28" t="s">
        <v>1496</v>
      </c>
      <c r="L283" s="28" t="s">
        <v>1014</v>
      </c>
      <c r="M283" s="28"/>
      <c r="N283" s="28"/>
      <c r="O283" s="28"/>
      <c r="P283" s="28"/>
    </row>
    <row r="284" customFormat="false" ht="15" hidden="false" customHeight="false" outlineLevel="0" collapsed="false">
      <c r="A284" s="28" t="s">
        <v>1517</v>
      </c>
      <c r="B284" s="28" t="s">
        <v>1466</v>
      </c>
      <c r="C284" s="28" t="s">
        <v>1467</v>
      </c>
      <c r="D284" s="28" t="s">
        <v>1493</v>
      </c>
      <c r="E284" s="28" t="s">
        <v>1002</v>
      </c>
      <c r="F284" s="32" t="n">
        <v>326.01</v>
      </c>
      <c r="G284" s="28" t="s">
        <v>108</v>
      </c>
      <c r="H284" s="28" t="s">
        <v>1518</v>
      </c>
      <c r="I284" s="28" t="s">
        <v>1031</v>
      </c>
      <c r="J284" s="28" t="s">
        <v>1031</v>
      </c>
      <c r="K284" s="28" t="s">
        <v>1496</v>
      </c>
      <c r="L284" s="28" t="s">
        <v>1006</v>
      </c>
      <c r="M284" s="28"/>
      <c r="N284" s="28"/>
      <c r="O284" s="28"/>
      <c r="P284" s="28"/>
    </row>
    <row r="285" customFormat="false" ht="15" hidden="false" customHeight="false" outlineLevel="0" collapsed="false">
      <c r="A285" s="28" t="s">
        <v>1519</v>
      </c>
      <c r="B285" s="28" t="s">
        <v>1466</v>
      </c>
      <c r="C285" s="28" t="s">
        <v>1467</v>
      </c>
      <c r="D285" s="28" t="s">
        <v>1493</v>
      </c>
      <c r="E285" s="28" t="s">
        <v>1002</v>
      </c>
      <c r="F285" s="32" t="n">
        <v>25718.19</v>
      </c>
      <c r="G285" s="28" t="s">
        <v>108</v>
      </c>
      <c r="H285" s="28" t="s">
        <v>1520</v>
      </c>
      <c r="I285" s="28" t="s">
        <v>881</v>
      </c>
      <c r="J285" s="28" t="s">
        <v>881</v>
      </c>
      <c r="K285" s="28"/>
      <c r="L285" s="28" t="s">
        <v>899</v>
      </c>
      <c r="M285" s="28"/>
      <c r="N285" s="28"/>
      <c r="O285" s="28"/>
      <c r="P285" s="28"/>
    </row>
    <row r="286" customFormat="false" ht="15" hidden="false" customHeight="false" outlineLevel="0" collapsed="false">
      <c r="A286" s="28" t="s">
        <v>1521</v>
      </c>
      <c r="B286" s="28" t="s">
        <v>1466</v>
      </c>
      <c r="C286" s="28" t="s">
        <v>1467</v>
      </c>
      <c r="D286" s="28" t="s">
        <v>1493</v>
      </c>
      <c r="E286" s="28" t="s">
        <v>1002</v>
      </c>
      <c r="F286" s="32" t="n">
        <v>652.02</v>
      </c>
      <c r="G286" s="28" t="s">
        <v>108</v>
      </c>
      <c r="H286" s="28" t="s">
        <v>1522</v>
      </c>
      <c r="I286" s="28" t="s">
        <v>1337</v>
      </c>
      <c r="J286" s="28" t="s">
        <v>1337</v>
      </c>
      <c r="K286" s="28" t="s">
        <v>1496</v>
      </c>
      <c r="L286" s="28" t="s">
        <v>1014</v>
      </c>
      <c r="M286" s="28"/>
      <c r="N286" s="28"/>
      <c r="O286" s="28"/>
      <c r="P286" s="28"/>
    </row>
    <row r="287" customFormat="false" ht="15" hidden="false" customHeight="false" outlineLevel="0" collapsed="false">
      <c r="A287" s="28" t="s">
        <v>1523</v>
      </c>
      <c r="B287" s="28" t="s">
        <v>1470</v>
      </c>
      <c r="C287" s="28" t="s">
        <v>1471</v>
      </c>
      <c r="D287" s="28" t="s">
        <v>1493</v>
      </c>
      <c r="E287" s="28" t="s">
        <v>1002</v>
      </c>
      <c r="F287" s="32" t="n">
        <v>3871.77</v>
      </c>
      <c r="G287" s="28" t="s">
        <v>108</v>
      </c>
      <c r="H287" s="28" t="s">
        <v>1524</v>
      </c>
      <c r="I287" s="28" t="s">
        <v>889</v>
      </c>
      <c r="J287" s="28" t="s">
        <v>889</v>
      </c>
      <c r="K287" s="28" t="s">
        <v>1525</v>
      </c>
      <c r="L287" s="28" t="s">
        <v>899</v>
      </c>
      <c r="M287" s="28" t="s">
        <v>1526</v>
      </c>
      <c r="N287" s="28"/>
      <c r="O287" s="28"/>
      <c r="P287" s="28"/>
    </row>
    <row r="288" customFormat="false" ht="15" hidden="false" customHeight="false" outlineLevel="0" collapsed="false">
      <c r="A288" s="28" t="s">
        <v>1527</v>
      </c>
      <c r="B288" s="28" t="s">
        <v>1466</v>
      </c>
      <c r="C288" s="28" t="s">
        <v>1467</v>
      </c>
      <c r="D288" s="28" t="s">
        <v>1493</v>
      </c>
      <c r="E288" s="28" t="s">
        <v>1002</v>
      </c>
      <c r="F288" s="32" t="n">
        <v>2581.18</v>
      </c>
      <c r="G288" s="28" t="s">
        <v>108</v>
      </c>
      <c r="H288" s="28" t="s">
        <v>1524</v>
      </c>
      <c r="I288" s="28" t="s">
        <v>889</v>
      </c>
      <c r="J288" s="28" t="s">
        <v>889</v>
      </c>
      <c r="K288" s="28" t="s">
        <v>1525</v>
      </c>
      <c r="L288" s="28" t="s">
        <v>899</v>
      </c>
      <c r="M288" s="28" t="s">
        <v>1526</v>
      </c>
      <c r="N288" s="28"/>
      <c r="O288" s="28"/>
      <c r="P288" s="28"/>
    </row>
    <row r="289" customFormat="false" ht="15" hidden="false" customHeight="false" outlineLevel="0" collapsed="false">
      <c r="A289" s="28" t="s">
        <v>1528</v>
      </c>
      <c r="B289" s="28" t="s">
        <v>1470</v>
      </c>
      <c r="C289" s="28" t="s">
        <v>1471</v>
      </c>
      <c r="D289" s="28" t="s">
        <v>1493</v>
      </c>
      <c r="E289" s="28" t="s">
        <v>1002</v>
      </c>
      <c r="F289" s="32" t="n">
        <v>38577.28</v>
      </c>
      <c r="G289" s="28" t="s">
        <v>108</v>
      </c>
      <c r="H289" s="28" t="s">
        <v>1520</v>
      </c>
      <c r="I289" s="28" t="s">
        <v>881</v>
      </c>
      <c r="J289" s="28" t="s">
        <v>881</v>
      </c>
      <c r="K289" s="28"/>
      <c r="L289" s="28" t="s">
        <v>899</v>
      </c>
      <c r="M289" s="28"/>
      <c r="N289" s="28"/>
      <c r="O289" s="28"/>
      <c r="P289" s="28"/>
    </row>
    <row r="290" customFormat="false" ht="15" hidden="false" customHeight="false" outlineLevel="0" collapsed="false">
      <c r="A290" s="28" t="s">
        <v>1529</v>
      </c>
      <c r="B290" s="28" t="s">
        <v>1466</v>
      </c>
      <c r="C290" s="28" t="s">
        <v>1467</v>
      </c>
      <c r="D290" s="28" t="s">
        <v>1493</v>
      </c>
      <c r="E290" s="28" t="s">
        <v>1002</v>
      </c>
      <c r="F290" s="32" t="n">
        <v>1880</v>
      </c>
      <c r="G290" s="28" t="s">
        <v>108</v>
      </c>
      <c r="H290" s="28" t="s">
        <v>1530</v>
      </c>
      <c r="I290" s="28" t="s">
        <v>1514</v>
      </c>
      <c r="J290" s="28" t="s">
        <v>1514</v>
      </c>
      <c r="K290" s="28" t="s">
        <v>1496</v>
      </c>
      <c r="L290" s="28" t="s">
        <v>1006</v>
      </c>
      <c r="M290" s="28"/>
      <c r="N290" s="28"/>
      <c r="O290" s="28"/>
      <c r="P290" s="28"/>
    </row>
    <row r="291" customFormat="false" ht="15" hidden="false" customHeight="false" outlineLevel="0" collapsed="false">
      <c r="A291" s="28" t="s">
        <v>1531</v>
      </c>
      <c r="B291" s="28" t="s">
        <v>1470</v>
      </c>
      <c r="C291" s="28" t="s">
        <v>1471</v>
      </c>
      <c r="D291" s="28" t="s">
        <v>1493</v>
      </c>
      <c r="E291" s="28" t="s">
        <v>1002</v>
      </c>
      <c r="F291" s="32" t="n">
        <v>326.01</v>
      </c>
      <c r="G291" s="28" t="s">
        <v>108</v>
      </c>
      <c r="H291" s="28" t="s">
        <v>1532</v>
      </c>
      <c r="I291" s="28" t="s">
        <v>1533</v>
      </c>
      <c r="J291" s="28" t="s">
        <v>1533</v>
      </c>
      <c r="K291" s="28" t="s">
        <v>1496</v>
      </c>
      <c r="L291" s="28" t="s">
        <v>1006</v>
      </c>
      <c r="M291" s="28"/>
      <c r="N291" s="28"/>
      <c r="O291" s="28"/>
      <c r="P291" s="28"/>
    </row>
    <row r="292" customFormat="false" ht="15" hidden="false" customHeight="false" outlineLevel="0" collapsed="false">
      <c r="A292" s="28" t="s">
        <v>1534</v>
      </c>
      <c r="B292" s="28" t="s">
        <v>1466</v>
      </c>
      <c r="C292" s="28" t="s">
        <v>1467</v>
      </c>
      <c r="D292" s="28" t="s">
        <v>1493</v>
      </c>
      <c r="E292" s="28" t="s">
        <v>1002</v>
      </c>
      <c r="F292" s="32" t="n">
        <v>332.98</v>
      </c>
      <c r="G292" s="28" t="s">
        <v>108</v>
      </c>
      <c r="H292" s="28" t="s">
        <v>1535</v>
      </c>
      <c r="I292" s="28" t="s">
        <v>1536</v>
      </c>
      <c r="J292" s="28" t="s">
        <v>1536</v>
      </c>
      <c r="K292" s="28" t="s">
        <v>1496</v>
      </c>
      <c r="L292" s="28" t="s">
        <v>1006</v>
      </c>
      <c r="M292" s="28"/>
      <c r="N292" s="28"/>
      <c r="O292" s="28"/>
      <c r="P292" s="28"/>
    </row>
    <row r="293" customFormat="false" ht="15" hidden="false" customHeight="false" outlineLevel="0" collapsed="false">
      <c r="A293" s="28" t="s">
        <v>1537</v>
      </c>
      <c r="B293" s="28" t="s">
        <v>1470</v>
      </c>
      <c r="C293" s="28" t="s">
        <v>1471</v>
      </c>
      <c r="D293" s="28" t="s">
        <v>1493</v>
      </c>
      <c r="E293" s="28" t="s">
        <v>1002</v>
      </c>
      <c r="F293" s="32" t="n">
        <v>652.01</v>
      </c>
      <c r="G293" s="28" t="s">
        <v>108</v>
      </c>
      <c r="H293" s="28" t="s">
        <v>1538</v>
      </c>
      <c r="I293" s="28" t="s">
        <v>1539</v>
      </c>
      <c r="J293" s="28" t="s">
        <v>1539</v>
      </c>
      <c r="K293" s="28" t="s">
        <v>1496</v>
      </c>
      <c r="L293" s="28" t="s">
        <v>1006</v>
      </c>
      <c r="M293" s="28"/>
      <c r="N293" s="28"/>
      <c r="O293" s="28"/>
      <c r="P293" s="28"/>
    </row>
    <row r="294" customFormat="false" ht="15" hidden="false" customHeight="false" outlineLevel="0" collapsed="false">
      <c r="A294" s="28" t="s">
        <v>1540</v>
      </c>
      <c r="B294" s="28" t="s">
        <v>1470</v>
      </c>
      <c r="C294" s="28" t="s">
        <v>1471</v>
      </c>
      <c r="D294" s="28" t="s">
        <v>1493</v>
      </c>
      <c r="E294" s="28" t="s">
        <v>1002</v>
      </c>
      <c r="F294" s="32" t="n">
        <v>45024.91</v>
      </c>
      <c r="G294" s="28" t="s">
        <v>108</v>
      </c>
      <c r="H294" s="28" t="s">
        <v>1541</v>
      </c>
      <c r="I294" s="28" t="s">
        <v>889</v>
      </c>
      <c r="J294" s="28" t="s">
        <v>889</v>
      </c>
      <c r="K294" s="28" t="s">
        <v>1542</v>
      </c>
      <c r="L294" s="28" t="s">
        <v>899</v>
      </c>
      <c r="M294" s="28" t="s">
        <v>1526</v>
      </c>
      <c r="N294" s="28"/>
      <c r="O294" s="28"/>
      <c r="P294" s="28"/>
    </row>
    <row r="295" customFormat="false" ht="15" hidden="false" customHeight="false" outlineLevel="0" collapsed="false">
      <c r="A295" s="28" t="s">
        <v>1543</v>
      </c>
      <c r="B295" s="28" t="s">
        <v>1466</v>
      </c>
      <c r="C295" s="28" t="s">
        <v>1467</v>
      </c>
      <c r="D295" s="28" t="s">
        <v>1493</v>
      </c>
      <c r="E295" s="28" t="s">
        <v>1002</v>
      </c>
      <c r="F295" s="32" t="n">
        <v>30016.61</v>
      </c>
      <c r="G295" s="28" t="s">
        <v>108</v>
      </c>
      <c r="H295" s="28" t="s">
        <v>1541</v>
      </c>
      <c r="I295" s="28" t="s">
        <v>889</v>
      </c>
      <c r="J295" s="28" t="s">
        <v>889</v>
      </c>
      <c r="K295" s="28" t="s">
        <v>1542</v>
      </c>
      <c r="L295" s="28" t="s">
        <v>899</v>
      </c>
      <c r="M295" s="28" t="s">
        <v>1526</v>
      </c>
      <c r="N295" s="28"/>
      <c r="O295" s="28"/>
      <c r="P295" s="28"/>
    </row>
    <row r="296" customFormat="false" ht="15" hidden="false" customHeight="false" outlineLevel="0" collapsed="false">
      <c r="A296" s="28" t="s">
        <v>1544</v>
      </c>
      <c r="B296" s="28" t="s">
        <v>1466</v>
      </c>
      <c r="C296" s="28" t="s">
        <v>1467</v>
      </c>
      <c r="D296" s="28" t="s">
        <v>1545</v>
      </c>
      <c r="E296" s="28" t="s">
        <v>1029</v>
      </c>
      <c r="F296" s="32" t="n">
        <v>178.85</v>
      </c>
      <c r="G296" s="28" t="s">
        <v>108</v>
      </c>
      <c r="H296" s="28" t="s">
        <v>1546</v>
      </c>
      <c r="I296" s="28" t="s">
        <v>1238</v>
      </c>
      <c r="J296" s="28" t="s">
        <v>1238</v>
      </c>
      <c r="K296" s="28" t="s">
        <v>1547</v>
      </c>
      <c r="L296" s="28" t="s">
        <v>1006</v>
      </c>
      <c r="M296" s="28"/>
      <c r="N296" s="28"/>
      <c r="O296" s="28"/>
      <c r="P296" s="28"/>
    </row>
    <row r="297" customFormat="false" ht="15" hidden="false" customHeight="false" outlineLevel="0" collapsed="false">
      <c r="A297" s="28" t="s">
        <v>1548</v>
      </c>
      <c r="B297" s="28" t="s">
        <v>1470</v>
      </c>
      <c r="C297" s="28" t="s">
        <v>1471</v>
      </c>
      <c r="D297" s="28" t="s">
        <v>1545</v>
      </c>
      <c r="E297" s="28" t="s">
        <v>1029</v>
      </c>
      <c r="F297" s="32" t="n">
        <v>583.33</v>
      </c>
      <c r="G297" s="28" t="s">
        <v>108</v>
      </c>
      <c r="H297" s="28" t="s">
        <v>1549</v>
      </c>
      <c r="I297" s="28" t="s">
        <v>1017</v>
      </c>
      <c r="J297" s="28" t="s">
        <v>1026</v>
      </c>
      <c r="K297" s="28" t="s">
        <v>1550</v>
      </c>
      <c r="L297" s="28" t="s">
        <v>1068</v>
      </c>
      <c r="M297" s="28" t="s">
        <v>1069</v>
      </c>
      <c r="N297" s="28"/>
      <c r="O297" s="28"/>
      <c r="P297" s="28"/>
    </row>
    <row r="298" customFormat="false" ht="15" hidden="false" customHeight="false" outlineLevel="0" collapsed="false">
      <c r="A298" s="28" t="s">
        <v>1551</v>
      </c>
      <c r="B298" s="28" t="s">
        <v>1466</v>
      </c>
      <c r="C298" s="28" t="s">
        <v>1467</v>
      </c>
      <c r="D298" s="28" t="s">
        <v>1545</v>
      </c>
      <c r="E298" s="28" t="s">
        <v>1029</v>
      </c>
      <c r="F298" s="32" t="n">
        <v>249.49</v>
      </c>
      <c r="G298" s="28" t="s">
        <v>108</v>
      </c>
      <c r="H298" s="28" t="s">
        <v>1552</v>
      </c>
      <c r="I298" s="28" t="s">
        <v>1074</v>
      </c>
      <c r="J298" s="28" t="s">
        <v>1074</v>
      </c>
      <c r="K298" s="28" t="s">
        <v>1547</v>
      </c>
      <c r="L298" s="28" t="s">
        <v>1006</v>
      </c>
      <c r="M298" s="28"/>
      <c r="N298" s="28"/>
      <c r="O298" s="28"/>
      <c r="P298" s="28"/>
    </row>
    <row r="299" customFormat="false" ht="15" hidden="false" customHeight="false" outlineLevel="0" collapsed="false">
      <c r="A299" s="28" t="s">
        <v>1553</v>
      </c>
      <c r="B299" s="28" t="s">
        <v>1470</v>
      </c>
      <c r="C299" s="28" t="s">
        <v>1471</v>
      </c>
      <c r="D299" s="28" t="s">
        <v>1545</v>
      </c>
      <c r="E299" s="28" t="s">
        <v>1029</v>
      </c>
      <c r="F299" s="32" t="n">
        <v>-583.33</v>
      </c>
      <c r="G299" s="28" t="s">
        <v>108</v>
      </c>
      <c r="H299" s="28" t="s">
        <v>1554</v>
      </c>
      <c r="I299" s="28" t="s">
        <v>1017</v>
      </c>
      <c r="J299" s="28" t="s">
        <v>1026</v>
      </c>
      <c r="K299" s="28" t="s">
        <v>1550</v>
      </c>
      <c r="L299" s="28" t="s">
        <v>1068</v>
      </c>
      <c r="M299" s="28" t="s">
        <v>1069</v>
      </c>
      <c r="N299" s="28"/>
      <c r="O299" s="28"/>
      <c r="P299" s="28"/>
    </row>
    <row r="300" customFormat="false" ht="15" hidden="false" customHeight="false" outlineLevel="0" collapsed="false">
      <c r="A300" s="28" t="s">
        <v>1555</v>
      </c>
      <c r="B300" s="28" t="s">
        <v>1470</v>
      </c>
      <c r="C300" s="28" t="s">
        <v>1471</v>
      </c>
      <c r="D300" s="28" t="s">
        <v>1545</v>
      </c>
      <c r="E300" s="28" t="s">
        <v>1029</v>
      </c>
      <c r="F300" s="32" t="n">
        <v>284</v>
      </c>
      <c r="G300" s="28" t="s">
        <v>108</v>
      </c>
      <c r="H300" s="28" t="s">
        <v>1556</v>
      </c>
      <c r="I300" s="28" t="s">
        <v>1061</v>
      </c>
      <c r="J300" s="28" t="s">
        <v>1061</v>
      </c>
      <c r="K300" s="28" t="s">
        <v>1557</v>
      </c>
      <c r="L300" s="28" t="s">
        <v>899</v>
      </c>
      <c r="M300" s="28" t="s">
        <v>1558</v>
      </c>
      <c r="N300" s="28"/>
      <c r="O300" s="28"/>
      <c r="P300" s="28"/>
    </row>
    <row r="301" customFormat="false" ht="15" hidden="false" customHeight="false" outlineLevel="0" collapsed="false">
      <c r="A301" s="28" t="s">
        <v>1559</v>
      </c>
      <c r="B301" s="28" t="s">
        <v>1470</v>
      </c>
      <c r="C301" s="28" t="s">
        <v>1471</v>
      </c>
      <c r="D301" s="28" t="s">
        <v>1545</v>
      </c>
      <c r="E301" s="28" t="s">
        <v>1029</v>
      </c>
      <c r="F301" s="32" t="n">
        <v>109.3</v>
      </c>
      <c r="G301" s="28" t="s">
        <v>108</v>
      </c>
      <c r="H301" s="28" t="s">
        <v>1560</v>
      </c>
      <c r="I301" s="28" t="s">
        <v>1074</v>
      </c>
      <c r="J301" s="28" t="s">
        <v>1074</v>
      </c>
      <c r="K301" s="28" t="s">
        <v>1561</v>
      </c>
      <c r="L301" s="28" t="s">
        <v>1006</v>
      </c>
      <c r="M301" s="28"/>
      <c r="N301" s="28"/>
      <c r="O301" s="28"/>
      <c r="P301" s="28"/>
    </row>
    <row r="302" customFormat="false" ht="15" hidden="false" customHeight="false" outlineLevel="0" collapsed="false">
      <c r="A302" s="28" t="s">
        <v>1562</v>
      </c>
      <c r="B302" s="28" t="s">
        <v>1466</v>
      </c>
      <c r="C302" s="28" t="s">
        <v>1467</v>
      </c>
      <c r="D302" s="28" t="s">
        <v>1545</v>
      </c>
      <c r="E302" s="28" t="s">
        <v>1029</v>
      </c>
      <c r="F302" s="32" t="n">
        <v>22.23</v>
      </c>
      <c r="G302" s="28" t="s">
        <v>108</v>
      </c>
      <c r="H302" s="28" t="s">
        <v>1546</v>
      </c>
      <c r="I302" s="28" t="s">
        <v>1238</v>
      </c>
      <c r="J302" s="28" t="s">
        <v>1238</v>
      </c>
      <c r="K302" s="28" t="s">
        <v>1561</v>
      </c>
      <c r="L302" s="28" t="s">
        <v>1006</v>
      </c>
      <c r="M302" s="28"/>
      <c r="N302" s="28"/>
      <c r="O302" s="28"/>
      <c r="P302" s="28"/>
    </row>
    <row r="303" customFormat="false" ht="15" hidden="false" customHeight="false" outlineLevel="0" collapsed="false">
      <c r="A303" s="28" t="s">
        <v>1563</v>
      </c>
      <c r="B303" s="28" t="s">
        <v>1466</v>
      </c>
      <c r="C303" s="28" t="s">
        <v>1467</v>
      </c>
      <c r="D303" s="28" t="s">
        <v>1545</v>
      </c>
      <c r="E303" s="28" t="s">
        <v>1029</v>
      </c>
      <c r="F303" s="32" t="n">
        <v>434.38</v>
      </c>
      <c r="G303" s="28" t="s">
        <v>108</v>
      </c>
      <c r="H303" s="28" t="s">
        <v>1564</v>
      </c>
      <c r="I303" s="28" t="s">
        <v>1565</v>
      </c>
      <c r="J303" s="28" t="s">
        <v>1565</v>
      </c>
      <c r="K303" s="28" t="s">
        <v>1566</v>
      </c>
      <c r="L303" s="28" t="s">
        <v>1006</v>
      </c>
      <c r="M303" s="28"/>
      <c r="N303" s="28"/>
      <c r="O303" s="28"/>
      <c r="P303" s="28"/>
    </row>
    <row r="304" customFormat="false" ht="15" hidden="false" customHeight="false" outlineLevel="0" collapsed="false">
      <c r="A304" s="28" t="s">
        <v>1567</v>
      </c>
      <c r="B304" s="28" t="s">
        <v>1466</v>
      </c>
      <c r="C304" s="28" t="s">
        <v>1467</v>
      </c>
      <c r="D304" s="28" t="s">
        <v>1545</v>
      </c>
      <c r="E304" s="28" t="s">
        <v>1029</v>
      </c>
      <c r="F304" s="32" t="n">
        <v>20.28</v>
      </c>
      <c r="G304" s="28" t="s">
        <v>108</v>
      </c>
      <c r="H304" s="28" t="s">
        <v>1568</v>
      </c>
      <c r="I304" s="28" t="s">
        <v>1425</v>
      </c>
      <c r="J304" s="28" t="s">
        <v>1425</v>
      </c>
      <c r="K304" s="28" t="s">
        <v>1561</v>
      </c>
      <c r="L304" s="28" t="s">
        <v>1006</v>
      </c>
      <c r="M304" s="28"/>
      <c r="N304" s="28"/>
      <c r="O304" s="28"/>
      <c r="P304" s="28"/>
    </row>
    <row r="305" customFormat="false" ht="15" hidden="false" customHeight="false" outlineLevel="0" collapsed="false">
      <c r="A305" s="28" t="s">
        <v>1569</v>
      </c>
      <c r="B305" s="28" t="s">
        <v>1466</v>
      </c>
      <c r="C305" s="28" t="s">
        <v>1467</v>
      </c>
      <c r="D305" s="28" t="s">
        <v>1545</v>
      </c>
      <c r="E305" s="28" t="s">
        <v>1029</v>
      </c>
      <c r="F305" s="32" t="n">
        <v>269.9</v>
      </c>
      <c r="G305" s="28" t="s">
        <v>108</v>
      </c>
      <c r="H305" s="28" t="s">
        <v>1570</v>
      </c>
      <c r="I305" s="28" t="s">
        <v>1101</v>
      </c>
      <c r="J305" s="28" t="s">
        <v>1101</v>
      </c>
      <c r="K305" s="28" t="s">
        <v>1571</v>
      </c>
      <c r="L305" s="28" t="s">
        <v>899</v>
      </c>
      <c r="M305" s="28" t="s">
        <v>1572</v>
      </c>
      <c r="N305" s="28"/>
      <c r="O305" s="28"/>
      <c r="P305" s="28"/>
    </row>
    <row r="306" customFormat="false" ht="15" hidden="false" customHeight="false" outlineLevel="0" collapsed="false">
      <c r="A306" s="28" t="s">
        <v>1573</v>
      </c>
      <c r="B306" s="28" t="s">
        <v>1470</v>
      </c>
      <c r="C306" s="28" t="s">
        <v>1471</v>
      </c>
      <c r="D306" s="28" t="s">
        <v>1545</v>
      </c>
      <c r="E306" s="28" t="s">
        <v>1029</v>
      </c>
      <c r="F306" s="32" t="n">
        <v>20.28</v>
      </c>
      <c r="G306" s="28" t="s">
        <v>108</v>
      </c>
      <c r="H306" s="28" t="s">
        <v>1574</v>
      </c>
      <c r="I306" s="28" t="s">
        <v>1441</v>
      </c>
      <c r="J306" s="28" t="s">
        <v>1441</v>
      </c>
      <c r="K306" s="28" t="s">
        <v>1561</v>
      </c>
      <c r="L306" s="28" t="s">
        <v>1006</v>
      </c>
      <c r="M306" s="28"/>
      <c r="N306" s="28"/>
      <c r="O306" s="28"/>
      <c r="P306" s="28"/>
    </row>
    <row r="307" customFormat="false" ht="15" hidden="false" customHeight="false" outlineLevel="0" collapsed="false">
      <c r="A307" s="28" t="s">
        <v>1575</v>
      </c>
      <c r="B307" s="28" t="s">
        <v>1466</v>
      </c>
      <c r="C307" s="28" t="s">
        <v>1467</v>
      </c>
      <c r="D307" s="28" t="s">
        <v>1545</v>
      </c>
      <c r="E307" s="28" t="s">
        <v>1029</v>
      </c>
      <c r="F307" s="32" t="n">
        <v>79.1</v>
      </c>
      <c r="G307" s="28" t="s">
        <v>108</v>
      </c>
      <c r="H307" s="28" t="s">
        <v>1576</v>
      </c>
      <c r="I307" s="28" t="s">
        <v>1009</v>
      </c>
      <c r="J307" s="28" t="s">
        <v>1009</v>
      </c>
      <c r="K307" s="28" t="s">
        <v>1561</v>
      </c>
      <c r="L307" s="28" t="s">
        <v>1006</v>
      </c>
      <c r="M307" s="28"/>
      <c r="N307" s="28"/>
      <c r="O307" s="28"/>
      <c r="P307" s="28"/>
    </row>
    <row r="308" customFormat="false" ht="15" hidden="false" customHeight="false" outlineLevel="0" collapsed="false">
      <c r="A308" s="28" t="s">
        <v>1577</v>
      </c>
      <c r="B308" s="28" t="s">
        <v>1466</v>
      </c>
      <c r="C308" s="28" t="s">
        <v>1467</v>
      </c>
      <c r="D308" s="28" t="s">
        <v>1545</v>
      </c>
      <c r="E308" s="28" t="s">
        <v>1029</v>
      </c>
      <c r="F308" s="32" t="n">
        <v>39.9</v>
      </c>
      <c r="G308" s="28" t="s">
        <v>108</v>
      </c>
      <c r="H308" s="28" t="s">
        <v>1578</v>
      </c>
      <c r="I308" s="28" t="s">
        <v>1004</v>
      </c>
      <c r="J308" s="28" t="s">
        <v>1004</v>
      </c>
      <c r="K308" s="28" t="s">
        <v>1561</v>
      </c>
      <c r="L308" s="28" t="s">
        <v>1006</v>
      </c>
      <c r="M308" s="28"/>
      <c r="N308" s="28"/>
      <c r="O308" s="28"/>
      <c r="P308" s="28"/>
    </row>
    <row r="309" customFormat="false" ht="15" hidden="false" customHeight="false" outlineLevel="0" collapsed="false">
      <c r="A309" s="28" t="s">
        <v>1579</v>
      </c>
      <c r="B309" s="28" t="s">
        <v>1466</v>
      </c>
      <c r="C309" s="28" t="s">
        <v>1467</v>
      </c>
      <c r="D309" s="28" t="s">
        <v>1545</v>
      </c>
      <c r="E309" s="28" t="s">
        <v>1029</v>
      </c>
      <c r="F309" s="32" t="n">
        <v>72.84</v>
      </c>
      <c r="G309" s="28" t="s">
        <v>108</v>
      </c>
      <c r="H309" s="28" t="s">
        <v>1580</v>
      </c>
      <c r="I309" s="28" t="s">
        <v>1425</v>
      </c>
      <c r="J309" s="28" t="s">
        <v>1425</v>
      </c>
      <c r="K309" s="28" t="s">
        <v>1561</v>
      </c>
      <c r="L309" s="28" t="s">
        <v>1006</v>
      </c>
      <c r="M309" s="28"/>
      <c r="N309" s="28"/>
      <c r="O309" s="28"/>
      <c r="P309" s="28"/>
    </row>
    <row r="310" customFormat="false" ht="15" hidden="false" customHeight="false" outlineLevel="0" collapsed="false">
      <c r="A310" s="28" t="s">
        <v>1581</v>
      </c>
      <c r="B310" s="28" t="s">
        <v>1470</v>
      </c>
      <c r="C310" s="28" t="s">
        <v>1471</v>
      </c>
      <c r="D310" s="28" t="s">
        <v>1545</v>
      </c>
      <c r="E310" s="28" t="s">
        <v>1029</v>
      </c>
      <c r="F310" s="32" t="n">
        <v>583.33</v>
      </c>
      <c r="G310" s="28" t="s">
        <v>108</v>
      </c>
      <c r="H310" s="28" t="s">
        <v>1582</v>
      </c>
      <c r="I310" s="28" t="s">
        <v>1017</v>
      </c>
      <c r="J310" s="28" t="s">
        <v>1026</v>
      </c>
      <c r="K310" s="28" t="s">
        <v>1550</v>
      </c>
      <c r="L310" s="28" t="s">
        <v>1068</v>
      </c>
      <c r="M310" s="28" t="s">
        <v>1069</v>
      </c>
      <c r="N310" s="28"/>
      <c r="O310" s="28"/>
      <c r="P310" s="28"/>
    </row>
    <row r="311" customFormat="false" ht="15" hidden="false" customHeight="false" outlineLevel="0" collapsed="false">
      <c r="A311" s="28" t="s">
        <v>1583</v>
      </c>
      <c r="B311" s="28" t="s">
        <v>1476</v>
      </c>
      <c r="C311" s="28" t="s">
        <v>1477</v>
      </c>
      <c r="D311" s="28" t="s">
        <v>1584</v>
      </c>
      <c r="E311" s="28" t="s">
        <v>1099</v>
      </c>
      <c r="F311" s="32" t="n">
        <v>-2738.5</v>
      </c>
      <c r="G311" s="28" t="s">
        <v>108</v>
      </c>
      <c r="H311" s="28" t="s">
        <v>1585</v>
      </c>
      <c r="I311" s="28" t="s">
        <v>889</v>
      </c>
      <c r="J311" s="28" t="s">
        <v>889</v>
      </c>
      <c r="K311" s="28" t="s">
        <v>1107</v>
      </c>
      <c r="L311" s="28" t="s">
        <v>899</v>
      </c>
      <c r="M311" s="28"/>
      <c r="N311" s="28"/>
      <c r="O311" s="28"/>
      <c r="P311" s="28"/>
    </row>
    <row r="312" customFormat="false" ht="15" hidden="false" customHeight="false" outlineLevel="0" collapsed="false">
      <c r="A312" s="28" t="s">
        <v>1586</v>
      </c>
      <c r="B312" s="28" t="s">
        <v>1476</v>
      </c>
      <c r="C312" s="28" t="s">
        <v>1477</v>
      </c>
      <c r="D312" s="28" t="s">
        <v>1584</v>
      </c>
      <c r="E312" s="28" t="s">
        <v>1099</v>
      </c>
      <c r="F312" s="32" t="n">
        <v>2388</v>
      </c>
      <c r="G312" s="28" t="s">
        <v>108</v>
      </c>
      <c r="H312" s="28" t="s">
        <v>1587</v>
      </c>
      <c r="I312" s="28" t="s">
        <v>1106</v>
      </c>
      <c r="J312" s="28" t="s">
        <v>881</v>
      </c>
      <c r="K312" s="28" t="s">
        <v>1107</v>
      </c>
      <c r="L312" s="28" t="s">
        <v>899</v>
      </c>
      <c r="M312" s="28"/>
      <c r="N312" s="28"/>
      <c r="O312" s="28"/>
      <c r="P312" s="28"/>
    </row>
    <row r="313" customFormat="false" ht="15" hidden="false" customHeight="false" outlineLevel="0" collapsed="false">
      <c r="A313" s="28" t="s">
        <v>1588</v>
      </c>
      <c r="B313" s="28" t="s">
        <v>1466</v>
      </c>
      <c r="C313" s="28" t="s">
        <v>1467</v>
      </c>
      <c r="D313" s="28" t="s">
        <v>1584</v>
      </c>
      <c r="E313" s="28" t="s">
        <v>1099</v>
      </c>
      <c r="F313" s="32" t="n">
        <v>2046</v>
      </c>
      <c r="G313" s="28" t="s">
        <v>108</v>
      </c>
      <c r="H313" s="28" t="s">
        <v>1589</v>
      </c>
      <c r="I313" s="28" t="s">
        <v>1106</v>
      </c>
      <c r="J313" s="28" t="s">
        <v>881</v>
      </c>
      <c r="K313" s="28" t="s">
        <v>1107</v>
      </c>
      <c r="L313" s="28" t="s">
        <v>899</v>
      </c>
      <c r="M313" s="28"/>
      <c r="N313" s="28"/>
      <c r="O313" s="28"/>
      <c r="P313" s="28"/>
    </row>
    <row r="314" customFormat="false" ht="15" hidden="false" customHeight="false" outlineLevel="0" collapsed="false">
      <c r="A314" s="28" t="s">
        <v>1590</v>
      </c>
      <c r="B314" s="28" t="s">
        <v>1476</v>
      </c>
      <c r="C314" s="28" t="s">
        <v>1477</v>
      </c>
      <c r="D314" s="28" t="s">
        <v>1584</v>
      </c>
      <c r="E314" s="28" t="s">
        <v>1099</v>
      </c>
      <c r="F314" s="32" t="n">
        <v>350.5</v>
      </c>
      <c r="G314" s="28" t="s">
        <v>108</v>
      </c>
      <c r="H314" s="28" t="s">
        <v>1177</v>
      </c>
      <c r="I314" s="28" t="s">
        <v>1106</v>
      </c>
      <c r="J314" s="28" t="s">
        <v>881</v>
      </c>
      <c r="K314" s="28" t="s">
        <v>1107</v>
      </c>
      <c r="L314" s="28" t="s">
        <v>899</v>
      </c>
      <c r="M314" s="28"/>
      <c r="N314" s="28"/>
      <c r="O314" s="28"/>
      <c r="P314" s="28"/>
    </row>
    <row r="315" customFormat="false" ht="15" hidden="false" customHeight="false" outlineLevel="0" collapsed="false">
      <c r="A315" s="28" t="s">
        <v>1591</v>
      </c>
      <c r="B315" s="28" t="s">
        <v>1466</v>
      </c>
      <c r="C315" s="28" t="s">
        <v>1467</v>
      </c>
      <c r="D315" s="28" t="s">
        <v>1584</v>
      </c>
      <c r="E315" s="28" t="s">
        <v>1099</v>
      </c>
      <c r="F315" s="32" t="n">
        <v>3070</v>
      </c>
      <c r="G315" s="28" t="s">
        <v>108</v>
      </c>
      <c r="H315" s="28" t="s">
        <v>1592</v>
      </c>
      <c r="I315" s="28" t="s">
        <v>1106</v>
      </c>
      <c r="J315" s="28" t="s">
        <v>881</v>
      </c>
      <c r="K315" s="28" t="s">
        <v>1107</v>
      </c>
      <c r="L315" s="28" t="s">
        <v>899</v>
      </c>
      <c r="M315" s="28"/>
      <c r="N315" s="28"/>
      <c r="O315" s="28"/>
      <c r="P315" s="28"/>
    </row>
    <row r="316" customFormat="false" ht="15" hidden="false" customHeight="false" outlineLevel="0" collapsed="false">
      <c r="A316" s="28" t="s">
        <v>1593</v>
      </c>
      <c r="B316" s="28" t="s">
        <v>1466</v>
      </c>
      <c r="C316" s="28" t="s">
        <v>1467</v>
      </c>
      <c r="D316" s="28" t="s">
        <v>1594</v>
      </c>
      <c r="E316" s="28" t="s">
        <v>1595</v>
      </c>
      <c r="F316" s="32" t="n">
        <v>4581.96</v>
      </c>
      <c r="G316" s="28" t="s">
        <v>108</v>
      </c>
      <c r="H316" s="28" t="s">
        <v>1596</v>
      </c>
      <c r="I316" s="28" t="s">
        <v>1597</v>
      </c>
      <c r="J316" s="28" t="s">
        <v>1597</v>
      </c>
      <c r="K316" s="28" t="s">
        <v>1598</v>
      </c>
      <c r="L316" s="28" t="s">
        <v>899</v>
      </c>
      <c r="M316" s="28" t="s">
        <v>1599</v>
      </c>
      <c r="N316" s="28"/>
      <c r="O316" s="28"/>
      <c r="P316" s="28"/>
    </row>
    <row r="317" customFormat="false" ht="15" hidden="false" customHeight="false" outlineLevel="0" collapsed="false">
      <c r="A317" s="28" t="s">
        <v>1600</v>
      </c>
      <c r="B317" s="28" t="s">
        <v>1470</v>
      </c>
      <c r="C317" s="28" t="s">
        <v>1471</v>
      </c>
      <c r="D317" s="28" t="s">
        <v>1601</v>
      </c>
      <c r="E317" s="28" t="s">
        <v>1602</v>
      </c>
      <c r="F317" s="32" t="n">
        <v>-374.99</v>
      </c>
      <c r="G317" s="28" t="s">
        <v>108</v>
      </c>
      <c r="H317" s="28" t="s">
        <v>1603</v>
      </c>
      <c r="I317" s="28" t="s">
        <v>1017</v>
      </c>
      <c r="J317" s="28" t="s">
        <v>1604</v>
      </c>
      <c r="K317" s="28" t="s">
        <v>1605</v>
      </c>
      <c r="L317" s="28" t="s">
        <v>1068</v>
      </c>
      <c r="M317" s="28" t="s">
        <v>1606</v>
      </c>
      <c r="N317" s="28"/>
      <c r="O317" s="28"/>
      <c r="P317" s="28"/>
    </row>
    <row r="318" customFormat="false" ht="15" hidden="false" customHeight="false" outlineLevel="0" collapsed="false">
      <c r="A318" s="28" t="s">
        <v>1607</v>
      </c>
      <c r="B318" s="28" t="s">
        <v>1470</v>
      </c>
      <c r="C318" s="28" t="s">
        <v>1471</v>
      </c>
      <c r="D318" s="28" t="s">
        <v>1601</v>
      </c>
      <c r="E318" s="28" t="s">
        <v>1602</v>
      </c>
      <c r="F318" s="32" t="n">
        <v>374.99</v>
      </c>
      <c r="G318" s="28" t="s">
        <v>108</v>
      </c>
      <c r="H318" s="28" t="s">
        <v>1608</v>
      </c>
      <c r="I318" s="28" t="s">
        <v>1017</v>
      </c>
      <c r="J318" s="28" t="s">
        <v>1604</v>
      </c>
      <c r="K318" s="28" t="s">
        <v>1605</v>
      </c>
      <c r="L318" s="28" t="s">
        <v>1068</v>
      </c>
      <c r="M318" s="28" t="s">
        <v>1606</v>
      </c>
      <c r="N318" s="28"/>
      <c r="O318" s="28"/>
      <c r="P318" s="28"/>
    </row>
    <row r="319" customFormat="false" ht="15" hidden="false" customHeight="false" outlineLevel="0" collapsed="false">
      <c r="A319" s="28" t="s">
        <v>1609</v>
      </c>
      <c r="B319" s="28" t="s">
        <v>1470</v>
      </c>
      <c r="C319" s="28" t="s">
        <v>1471</v>
      </c>
      <c r="D319" s="28" t="s">
        <v>1601</v>
      </c>
      <c r="E319" s="28" t="s">
        <v>1602</v>
      </c>
      <c r="F319" s="32" t="n">
        <v>374.99</v>
      </c>
      <c r="G319" s="28" t="s">
        <v>108</v>
      </c>
      <c r="H319" s="28" t="s">
        <v>1610</v>
      </c>
      <c r="I319" s="28" t="s">
        <v>1017</v>
      </c>
      <c r="J319" s="28" t="s">
        <v>1604</v>
      </c>
      <c r="K319" s="28" t="s">
        <v>1605</v>
      </c>
      <c r="L319" s="28" t="s">
        <v>1068</v>
      </c>
      <c r="M319" s="28" t="s">
        <v>1606</v>
      </c>
      <c r="N319" s="28"/>
      <c r="O319" s="28"/>
      <c r="P319" s="28"/>
    </row>
    <row r="320" customFormat="false" ht="15" hidden="false" customHeight="false" outlineLevel="0" collapsed="false">
      <c r="A320" s="28" t="s">
        <v>1611</v>
      </c>
      <c r="B320" s="28" t="s">
        <v>1466</v>
      </c>
      <c r="C320" s="28" t="s">
        <v>1467</v>
      </c>
      <c r="D320" s="28" t="s">
        <v>1612</v>
      </c>
      <c r="E320" s="28" t="s">
        <v>1217</v>
      </c>
      <c r="F320" s="32" t="n">
        <v>1350</v>
      </c>
      <c r="G320" s="28" t="s">
        <v>108</v>
      </c>
      <c r="H320" s="28" t="s">
        <v>1222</v>
      </c>
      <c r="I320" s="28" t="s">
        <v>910</v>
      </c>
      <c r="J320" s="28" t="s">
        <v>910</v>
      </c>
      <c r="K320" s="28" t="s">
        <v>1223</v>
      </c>
      <c r="L320" s="28" t="s">
        <v>899</v>
      </c>
      <c r="M320" s="28" t="s">
        <v>1220</v>
      </c>
      <c r="N320" s="28"/>
      <c r="O320" s="28"/>
      <c r="P320" s="28"/>
    </row>
    <row r="321" customFormat="false" ht="15" hidden="false" customHeight="false" outlineLevel="0" collapsed="false">
      <c r="A321" s="28" t="s">
        <v>1613</v>
      </c>
      <c r="B321" s="28" t="s">
        <v>1466</v>
      </c>
      <c r="C321" s="28" t="s">
        <v>1467</v>
      </c>
      <c r="D321" s="28" t="s">
        <v>1612</v>
      </c>
      <c r="E321" s="28" t="s">
        <v>1217</v>
      </c>
      <c r="F321" s="32" t="n">
        <v>1350</v>
      </c>
      <c r="G321" s="28" t="s">
        <v>108</v>
      </c>
      <c r="H321" s="28" t="s">
        <v>1218</v>
      </c>
      <c r="I321" s="28" t="s">
        <v>1017</v>
      </c>
      <c r="J321" s="28" t="s">
        <v>1017</v>
      </c>
      <c r="K321" s="28" t="s">
        <v>1219</v>
      </c>
      <c r="L321" s="28" t="s">
        <v>899</v>
      </c>
      <c r="M321" s="28" t="s">
        <v>1220</v>
      </c>
      <c r="N321" s="28"/>
      <c r="O321" s="28"/>
      <c r="P321" s="28"/>
    </row>
    <row r="322" customFormat="false" ht="15" hidden="false" customHeight="false" outlineLevel="0" collapsed="false">
      <c r="A322" s="28" t="s">
        <v>1614</v>
      </c>
      <c r="B322" s="28" t="s">
        <v>1470</v>
      </c>
      <c r="C322" s="28" t="s">
        <v>1471</v>
      </c>
      <c r="D322" s="28" t="s">
        <v>1612</v>
      </c>
      <c r="E322" s="28" t="s">
        <v>1217</v>
      </c>
      <c r="F322" s="32" t="n">
        <v>975</v>
      </c>
      <c r="G322" s="28" t="s">
        <v>108</v>
      </c>
      <c r="H322" s="28" t="s">
        <v>1218</v>
      </c>
      <c r="I322" s="28" t="s">
        <v>1017</v>
      </c>
      <c r="J322" s="28" t="s">
        <v>1017</v>
      </c>
      <c r="K322" s="28" t="s">
        <v>1219</v>
      </c>
      <c r="L322" s="28" t="s">
        <v>899</v>
      </c>
      <c r="M322" s="28" t="s">
        <v>1220</v>
      </c>
      <c r="N322" s="28"/>
      <c r="O322" s="28"/>
      <c r="P322" s="28"/>
    </row>
    <row r="323" customFormat="false" ht="15" hidden="false" customHeight="false" outlineLevel="0" collapsed="false">
      <c r="A323" s="28" t="s">
        <v>1615</v>
      </c>
      <c r="B323" s="28" t="s">
        <v>1470</v>
      </c>
      <c r="C323" s="28" t="s">
        <v>1471</v>
      </c>
      <c r="D323" s="28" t="s">
        <v>1612</v>
      </c>
      <c r="E323" s="28" t="s">
        <v>1217</v>
      </c>
      <c r="F323" s="32" t="n">
        <v>975</v>
      </c>
      <c r="G323" s="28" t="s">
        <v>108</v>
      </c>
      <c r="H323" s="28" t="s">
        <v>1222</v>
      </c>
      <c r="I323" s="28" t="s">
        <v>910</v>
      </c>
      <c r="J323" s="28" t="s">
        <v>910</v>
      </c>
      <c r="K323" s="28" t="s">
        <v>1223</v>
      </c>
      <c r="L323" s="28" t="s">
        <v>899</v>
      </c>
      <c r="M323" s="28" t="s">
        <v>1220</v>
      </c>
      <c r="N323" s="28"/>
      <c r="O323" s="28"/>
      <c r="P323" s="28"/>
    </row>
    <row r="324" customFormat="false" ht="15" hidden="false" customHeight="false" outlineLevel="0" collapsed="false">
      <c r="A324" s="28" t="s">
        <v>1616</v>
      </c>
      <c r="B324" s="28" t="s">
        <v>1476</v>
      </c>
      <c r="C324" s="28" t="s">
        <v>1477</v>
      </c>
      <c r="D324" s="28" t="s">
        <v>1612</v>
      </c>
      <c r="E324" s="28" t="s">
        <v>1217</v>
      </c>
      <c r="F324" s="32" t="n">
        <v>150</v>
      </c>
      <c r="G324" s="28" t="s">
        <v>108</v>
      </c>
      <c r="H324" s="28" t="s">
        <v>1222</v>
      </c>
      <c r="I324" s="28" t="s">
        <v>910</v>
      </c>
      <c r="J324" s="28" t="s">
        <v>910</v>
      </c>
      <c r="K324" s="28" t="s">
        <v>1223</v>
      </c>
      <c r="L324" s="28" t="s">
        <v>899</v>
      </c>
      <c r="M324" s="28" t="s">
        <v>1220</v>
      </c>
      <c r="N324" s="28"/>
      <c r="O324" s="28"/>
      <c r="P324" s="28"/>
    </row>
    <row r="325" customFormat="false" ht="15" hidden="false" customHeight="false" outlineLevel="0" collapsed="false">
      <c r="A325" s="28" t="s">
        <v>1617</v>
      </c>
      <c r="B325" s="28" t="s">
        <v>1476</v>
      </c>
      <c r="C325" s="28" t="s">
        <v>1477</v>
      </c>
      <c r="D325" s="28" t="s">
        <v>1612</v>
      </c>
      <c r="E325" s="28" t="s">
        <v>1217</v>
      </c>
      <c r="F325" s="32" t="n">
        <v>150</v>
      </c>
      <c r="G325" s="28" t="s">
        <v>108</v>
      </c>
      <c r="H325" s="28" t="s">
        <v>1218</v>
      </c>
      <c r="I325" s="28" t="s">
        <v>1017</v>
      </c>
      <c r="J325" s="28" t="s">
        <v>1017</v>
      </c>
      <c r="K325" s="28" t="s">
        <v>1219</v>
      </c>
      <c r="L325" s="28" t="s">
        <v>899</v>
      </c>
      <c r="M325" s="28" t="s">
        <v>1220</v>
      </c>
      <c r="N325" s="28"/>
      <c r="O325" s="28"/>
      <c r="P325" s="28"/>
    </row>
    <row r="326" customFormat="false" ht="15" hidden="false" customHeight="false" outlineLevel="0" collapsed="false">
      <c r="A326" s="28" t="s">
        <v>1618</v>
      </c>
      <c r="B326" s="28" t="s">
        <v>1466</v>
      </c>
      <c r="C326" s="28" t="s">
        <v>1467</v>
      </c>
      <c r="D326" s="28" t="s">
        <v>1619</v>
      </c>
      <c r="E326" s="28" t="s">
        <v>1620</v>
      </c>
      <c r="F326" s="32" t="n">
        <v>11906.91</v>
      </c>
      <c r="G326" s="28" t="s">
        <v>108</v>
      </c>
      <c r="H326" s="28" t="s">
        <v>1621</v>
      </c>
      <c r="I326" s="28" t="s">
        <v>1499</v>
      </c>
      <c r="J326" s="28" t="s">
        <v>1499</v>
      </c>
      <c r="K326" s="28" t="s">
        <v>1622</v>
      </c>
      <c r="L326" s="28" t="s">
        <v>899</v>
      </c>
      <c r="M326" s="28" t="s">
        <v>1240</v>
      </c>
      <c r="N326" s="28"/>
      <c r="O326" s="28"/>
      <c r="P326" s="28"/>
    </row>
    <row r="327" customFormat="false" ht="15" hidden="false" customHeight="false" outlineLevel="0" collapsed="false">
      <c r="A327" s="28" t="s">
        <v>1623</v>
      </c>
      <c r="B327" s="28" t="s">
        <v>1466</v>
      </c>
      <c r="C327" s="28" t="s">
        <v>1467</v>
      </c>
      <c r="D327" s="28" t="s">
        <v>1619</v>
      </c>
      <c r="E327" s="28" t="s">
        <v>1620</v>
      </c>
      <c r="F327" s="32" t="n">
        <v>11536.83</v>
      </c>
      <c r="G327" s="28" t="s">
        <v>108</v>
      </c>
      <c r="H327" s="28" t="s">
        <v>1624</v>
      </c>
      <c r="I327" s="28" t="s">
        <v>1499</v>
      </c>
      <c r="J327" s="28" t="s">
        <v>1499</v>
      </c>
      <c r="K327" s="28" t="s">
        <v>1625</v>
      </c>
      <c r="L327" s="28" t="s">
        <v>899</v>
      </c>
      <c r="M327" s="28" t="s">
        <v>1240</v>
      </c>
      <c r="N327" s="28"/>
      <c r="O327" s="28"/>
      <c r="P327" s="28"/>
    </row>
    <row r="328" customFormat="false" ht="15" hidden="false" customHeight="false" outlineLevel="0" collapsed="false">
      <c r="A328" s="28" t="s">
        <v>1626</v>
      </c>
      <c r="B328" s="28" t="s">
        <v>1466</v>
      </c>
      <c r="C328" s="28" t="s">
        <v>1467</v>
      </c>
      <c r="D328" s="28" t="s">
        <v>1619</v>
      </c>
      <c r="E328" s="28" t="s">
        <v>1620</v>
      </c>
      <c r="F328" s="32" t="n">
        <v>664.14</v>
      </c>
      <c r="G328" s="28" t="s">
        <v>108</v>
      </c>
      <c r="H328" s="28" t="s">
        <v>1627</v>
      </c>
      <c r="I328" s="28" t="s">
        <v>1499</v>
      </c>
      <c r="J328" s="28" t="s">
        <v>910</v>
      </c>
      <c r="K328" s="28" t="s">
        <v>1628</v>
      </c>
      <c r="L328" s="28" t="s">
        <v>1068</v>
      </c>
      <c r="M328" s="28" t="s">
        <v>1069</v>
      </c>
      <c r="N328" s="28"/>
      <c r="O328" s="28"/>
      <c r="P328" s="28"/>
    </row>
    <row r="329" customFormat="false" ht="15" hidden="false" customHeight="false" outlineLevel="0" collapsed="false">
      <c r="A329" s="28" t="s">
        <v>1629</v>
      </c>
      <c r="B329" s="28" t="s">
        <v>1466</v>
      </c>
      <c r="C329" s="28" t="s">
        <v>1467</v>
      </c>
      <c r="D329" s="28" t="s">
        <v>1619</v>
      </c>
      <c r="E329" s="28" t="s">
        <v>1620</v>
      </c>
      <c r="F329" s="32" t="n">
        <v>4913.96</v>
      </c>
      <c r="G329" s="28" t="s">
        <v>108</v>
      </c>
      <c r="H329" s="28" t="s">
        <v>1627</v>
      </c>
      <c r="I329" s="28" t="s">
        <v>1499</v>
      </c>
      <c r="J329" s="28" t="s">
        <v>910</v>
      </c>
      <c r="K329" s="28" t="s">
        <v>1630</v>
      </c>
      <c r="L329" s="28" t="s">
        <v>1068</v>
      </c>
      <c r="M329" s="28" t="s">
        <v>1069</v>
      </c>
      <c r="N329" s="28"/>
      <c r="O329" s="28"/>
      <c r="P329" s="28"/>
    </row>
    <row r="330" customFormat="false" ht="15" hidden="false" customHeight="false" outlineLevel="0" collapsed="false">
      <c r="A330" s="28" t="s">
        <v>1631</v>
      </c>
      <c r="B330" s="28" t="s">
        <v>1466</v>
      </c>
      <c r="C330" s="28" t="s">
        <v>1467</v>
      </c>
      <c r="D330" s="28" t="s">
        <v>1619</v>
      </c>
      <c r="E330" s="28" t="s">
        <v>1620</v>
      </c>
      <c r="F330" s="32" t="n">
        <v>491.4</v>
      </c>
      <c r="G330" s="28" t="s">
        <v>108</v>
      </c>
      <c r="H330" s="28" t="s">
        <v>1627</v>
      </c>
      <c r="I330" s="28" t="s">
        <v>1499</v>
      </c>
      <c r="J330" s="28" t="s">
        <v>910</v>
      </c>
      <c r="K330" s="28" t="s">
        <v>1632</v>
      </c>
      <c r="L330" s="28" t="s">
        <v>1068</v>
      </c>
      <c r="M330" s="28" t="s">
        <v>1069</v>
      </c>
      <c r="N330" s="28"/>
      <c r="O330" s="28"/>
      <c r="P330" s="28"/>
    </row>
    <row r="331" customFormat="false" ht="15" hidden="false" customHeight="false" outlineLevel="0" collapsed="false">
      <c r="A331" s="28" t="s">
        <v>1633</v>
      </c>
      <c r="B331" s="28" t="s">
        <v>1466</v>
      </c>
      <c r="C331" s="28" t="s">
        <v>1467</v>
      </c>
      <c r="D331" s="28" t="s">
        <v>1619</v>
      </c>
      <c r="E331" s="28" t="s">
        <v>1620</v>
      </c>
      <c r="F331" s="32" t="n">
        <v>-1545</v>
      </c>
      <c r="G331" s="28" t="s">
        <v>108</v>
      </c>
      <c r="H331" s="28" t="s">
        <v>1634</v>
      </c>
      <c r="I331" s="28" t="s">
        <v>1499</v>
      </c>
      <c r="J331" s="28" t="s">
        <v>910</v>
      </c>
      <c r="K331" s="28" t="s">
        <v>1635</v>
      </c>
      <c r="L331" s="28" t="s">
        <v>1068</v>
      </c>
      <c r="M331" s="28" t="s">
        <v>1069</v>
      </c>
      <c r="N331" s="28"/>
      <c r="O331" s="28"/>
      <c r="P331" s="28"/>
    </row>
    <row r="332" customFormat="false" ht="15" hidden="false" customHeight="false" outlineLevel="0" collapsed="false">
      <c r="A332" s="28" t="s">
        <v>1636</v>
      </c>
      <c r="B332" s="28" t="s">
        <v>1466</v>
      </c>
      <c r="C332" s="28" t="s">
        <v>1467</v>
      </c>
      <c r="D332" s="28" t="s">
        <v>1619</v>
      </c>
      <c r="E332" s="28" t="s">
        <v>1620</v>
      </c>
      <c r="F332" s="32" t="n">
        <v>1545</v>
      </c>
      <c r="G332" s="28" t="s">
        <v>108</v>
      </c>
      <c r="H332" s="28" t="s">
        <v>1637</v>
      </c>
      <c r="I332" s="28" t="s">
        <v>1499</v>
      </c>
      <c r="J332" s="28" t="s">
        <v>910</v>
      </c>
      <c r="K332" s="28" t="s">
        <v>1635</v>
      </c>
      <c r="L332" s="28" t="s">
        <v>1068</v>
      </c>
      <c r="M332" s="28" t="s">
        <v>1069</v>
      </c>
      <c r="N332" s="28"/>
      <c r="O332" s="28"/>
      <c r="P332" s="28"/>
    </row>
    <row r="333" customFormat="false" ht="15" hidden="false" customHeight="false" outlineLevel="0" collapsed="false">
      <c r="A333" s="28" t="s">
        <v>1638</v>
      </c>
      <c r="B333" s="28" t="s">
        <v>1470</v>
      </c>
      <c r="C333" s="28" t="s">
        <v>1471</v>
      </c>
      <c r="D333" s="28" t="s">
        <v>1639</v>
      </c>
      <c r="E333" s="28" t="s">
        <v>1236</v>
      </c>
      <c r="F333" s="32" t="n">
        <v>-581.82</v>
      </c>
      <c r="G333" s="28" t="s">
        <v>108</v>
      </c>
      <c r="H333" s="28" t="s">
        <v>1554</v>
      </c>
      <c r="I333" s="28" t="s">
        <v>1017</v>
      </c>
      <c r="J333" s="28" t="s">
        <v>1026</v>
      </c>
      <c r="K333" s="28" t="s">
        <v>1640</v>
      </c>
      <c r="L333" s="28" t="s">
        <v>1068</v>
      </c>
      <c r="M333" s="28" t="s">
        <v>1069</v>
      </c>
      <c r="N333" s="28"/>
      <c r="O333" s="28"/>
      <c r="P333" s="28"/>
    </row>
    <row r="334" customFormat="false" ht="15" hidden="false" customHeight="false" outlineLevel="0" collapsed="false">
      <c r="A334" s="28" t="s">
        <v>1641</v>
      </c>
      <c r="B334" s="28" t="s">
        <v>1470</v>
      </c>
      <c r="C334" s="28" t="s">
        <v>1471</v>
      </c>
      <c r="D334" s="28" t="s">
        <v>1639</v>
      </c>
      <c r="E334" s="28" t="s">
        <v>1236</v>
      </c>
      <c r="F334" s="32" t="n">
        <v>-968.18</v>
      </c>
      <c r="G334" s="28" t="s">
        <v>108</v>
      </c>
      <c r="H334" s="28" t="s">
        <v>1554</v>
      </c>
      <c r="I334" s="28" t="s">
        <v>1017</v>
      </c>
      <c r="J334" s="28" t="s">
        <v>1026</v>
      </c>
      <c r="K334" s="28" t="s">
        <v>1642</v>
      </c>
      <c r="L334" s="28" t="s">
        <v>1068</v>
      </c>
      <c r="M334" s="28" t="s">
        <v>1069</v>
      </c>
      <c r="N334" s="28"/>
      <c r="O334" s="28"/>
      <c r="P334" s="28"/>
    </row>
    <row r="335" customFormat="false" ht="15" hidden="false" customHeight="false" outlineLevel="0" collapsed="false">
      <c r="A335" s="28" t="s">
        <v>1643</v>
      </c>
      <c r="B335" s="28" t="s">
        <v>1470</v>
      </c>
      <c r="C335" s="28" t="s">
        <v>1471</v>
      </c>
      <c r="D335" s="28" t="s">
        <v>1639</v>
      </c>
      <c r="E335" s="28" t="s">
        <v>1236</v>
      </c>
      <c r="F335" s="32" t="n">
        <v>909.09</v>
      </c>
      <c r="G335" s="28" t="s">
        <v>108</v>
      </c>
      <c r="H335" s="28" t="s">
        <v>1549</v>
      </c>
      <c r="I335" s="28" t="s">
        <v>1017</v>
      </c>
      <c r="J335" s="28" t="s">
        <v>1026</v>
      </c>
      <c r="K335" s="28" t="s">
        <v>1644</v>
      </c>
      <c r="L335" s="28" t="s">
        <v>1068</v>
      </c>
      <c r="M335" s="28" t="s">
        <v>1069</v>
      </c>
      <c r="N335" s="28"/>
      <c r="O335" s="28"/>
      <c r="P335" s="28"/>
    </row>
    <row r="336" customFormat="false" ht="15" hidden="false" customHeight="false" outlineLevel="0" collapsed="false">
      <c r="A336" s="28" t="s">
        <v>1645</v>
      </c>
      <c r="B336" s="28" t="s">
        <v>1470</v>
      </c>
      <c r="C336" s="28" t="s">
        <v>1471</v>
      </c>
      <c r="D336" s="28" t="s">
        <v>1639</v>
      </c>
      <c r="E336" s="28" t="s">
        <v>1236</v>
      </c>
      <c r="F336" s="32" t="n">
        <v>420.79</v>
      </c>
      <c r="G336" s="28" t="s">
        <v>108</v>
      </c>
      <c r="H336" s="28" t="s">
        <v>1582</v>
      </c>
      <c r="I336" s="28" t="s">
        <v>1017</v>
      </c>
      <c r="J336" s="28" t="s">
        <v>1026</v>
      </c>
      <c r="K336" s="28" t="s">
        <v>1646</v>
      </c>
      <c r="L336" s="28" t="s">
        <v>1068</v>
      </c>
      <c r="M336" s="28" t="s">
        <v>1069</v>
      </c>
      <c r="N336" s="28"/>
      <c r="O336" s="28"/>
      <c r="P336" s="28"/>
    </row>
    <row r="337" customFormat="false" ht="15" hidden="false" customHeight="false" outlineLevel="0" collapsed="false">
      <c r="A337" s="28" t="s">
        <v>1647</v>
      </c>
      <c r="B337" s="28" t="s">
        <v>1470</v>
      </c>
      <c r="C337" s="28" t="s">
        <v>1471</v>
      </c>
      <c r="D337" s="28" t="s">
        <v>1639</v>
      </c>
      <c r="E337" s="28" t="s">
        <v>1236</v>
      </c>
      <c r="F337" s="32" t="n">
        <v>968.18</v>
      </c>
      <c r="G337" s="28" t="s">
        <v>108</v>
      </c>
      <c r="H337" s="28" t="s">
        <v>1582</v>
      </c>
      <c r="I337" s="28" t="s">
        <v>1017</v>
      </c>
      <c r="J337" s="28" t="s">
        <v>1026</v>
      </c>
      <c r="K337" s="28" t="s">
        <v>1642</v>
      </c>
      <c r="L337" s="28" t="s">
        <v>1068</v>
      </c>
      <c r="M337" s="28" t="s">
        <v>1069</v>
      </c>
      <c r="N337" s="28"/>
      <c r="O337" s="28"/>
      <c r="P337" s="28"/>
    </row>
    <row r="338" customFormat="false" ht="15" hidden="false" customHeight="false" outlineLevel="0" collapsed="false">
      <c r="A338" s="28" t="s">
        <v>1648</v>
      </c>
      <c r="B338" s="28" t="s">
        <v>1470</v>
      </c>
      <c r="C338" s="28" t="s">
        <v>1471</v>
      </c>
      <c r="D338" s="28" t="s">
        <v>1639</v>
      </c>
      <c r="E338" s="28" t="s">
        <v>1236</v>
      </c>
      <c r="F338" s="32" t="n">
        <v>296.15</v>
      </c>
      <c r="G338" s="28" t="s">
        <v>108</v>
      </c>
      <c r="H338" s="28" t="s">
        <v>1549</v>
      </c>
      <c r="I338" s="28" t="s">
        <v>1017</v>
      </c>
      <c r="J338" s="28" t="s">
        <v>1026</v>
      </c>
      <c r="K338" s="28" t="s">
        <v>1649</v>
      </c>
      <c r="L338" s="28" t="s">
        <v>1068</v>
      </c>
      <c r="M338" s="28" t="s">
        <v>1069</v>
      </c>
      <c r="N338" s="28"/>
      <c r="O338" s="28"/>
      <c r="P338" s="28"/>
    </row>
    <row r="339" customFormat="false" ht="15" hidden="false" customHeight="false" outlineLevel="0" collapsed="false">
      <c r="A339" s="28" t="s">
        <v>1650</v>
      </c>
      <c r="B339" s="28" t="s">
        <v>1470</v>
      </c>
      <c r="C339" s="28" t="s">
        <v>1471</v>
      </c>
      <c r="D339" s="28" t="s">
        <v>1639</v>
      </c>
      <c r="E339" s="28" t="s">
        <v>1236</v>
      </c>
      <c r="F339" s="32" t="n">
        <v>-420.79</v>
      </c>
      <c r="G339" s="28" t="s">
        <v>108</v>
      </c>
      <c r="H339" s="28" t="s">
        <v>1554</v>
      </c>
      <c r="I339" s="28" t="s">
        <v>1017</v>
      </c>
      <c r="J339" s="28" t="s">
        <v>1026</v>
      </c>
      <c r="K339" s="28" t="s">
        <v>1646</v>
      </c>
      <c r="L339" s="28" t="s">
        <v>1068</v>
      </c>
      <c r="M339" s="28" t="s">
        <v>1069</v>
      </c>
      <c r="N339" s="28"/>
      <c r="O339" s="28"/>
      <c r="P339" s="28"/>
    </row>
    <row r="340" customFormat="false" ht="15" hidden="false" customHeight="false" outlineLevel="0" collapsed="false">
      <c r="A340" s="28" t="s">
        <v>1651</v>
      </c>
      <c r="B340" s="28" t="s">
        <v>1470</v>
      </c>
      <c r="C340" s="28" t="s">
        <v>1471</v>
      </c>
      <c r="D340" s="28" t="s">
        <v>1639</v>
      </c>
      <c r="E340" s="28" t="s">
        <v>1236</v>
      </c>
      <c r="F340" s="32" t="n">
        <v>581.82</v>
      </c>
      <c r="G340" s="28" t="s">
        <v>108</v>
      </c>
      <c r="H340" s="28" t="s">
        <v>1549</v>
      </c>
      <c r="I340" s="28" t="s">
        <v>1017</v>
      </c>
      <c r="J340" s="28" t="s">
        <v>1026</v>
      </c>
      <c r="K340" s="28" t="s">
        <v>1640</v>
      </c>
      <c r="L340" s="28" t="s">
        <v>1068</v>
      </c>
      <c r="M340" s="28" t="s">
        <v>1069</v>
      </c>
      <c r="N340" s="28"/>
      <c r="O340" s="28"/>
      <c r="P340" s="28"/>
    </row>
    <row r="341" customFormat="false" ht="15" hidden="false" customHeight="false" outlineLevel="0" collapsed="false">
      <c r="A341" s="28" t="s">
        <v>1652</v>
      </c>
      <c r="B341" s="28" t="s">
        <v>1470</v>
      </c>
      <c r="C341" s="28" t="s">
        <v>1471</v>
      </c>
      <c r="D341" s="28" t="s">
        <v>1639</v>
      </c>
      <c r="E341" s="28" t="s">
        <v>1236</v>
      </c>
      <c r="F341" s="32" t="n">
        <v>90.91</v>
      </c>
      <c r="G341" s="28" t="s">
        <v>108</v>
      </c>
      <c r="H341" s="28" t="s">
        <v>1582</v>
      </c>
      <c r="I341" s="28" t="s">
        <v>1017</v>
      </c>
      <c r="J341" s="28" t="s">
        <v>1026</v>
      </c>
      <c r="K341" s="28" t="s">
        <v>1653</v>
      </c>
      <c r="L341" s="28" t="s">
        <v>1068</v>
      </c>
      <c r="M341" s="28" t="s">
        <v>1069</v>
      </c>
      <c r="N341" s="28"/>
      <c r="O341" s="28"/>
      <c r="P341" s="28"/>
    </row>
    <row r="342" customFormat="false" ht="15" hidden="false" customHeight="false" outlineLevel="0" collapsed="false">
      <c r="A342" s="28" t="s">
        <v>1654</v>
      </c>
      <c r="B342" s="28" t="s">
        <v>1470</v>
      </c>
      <c r="C342" s="28" t="s">
        <v>1471</v>
      </c>
      <c r="D342" s="28" t="s">
        <v>1639</v>
      </c>
      <c r="E342" s="28" t="s">
        <v>1236</v>
      </c>
      <c r="F342" s="32" t="n">
        <v>909.09</v>
      </c>
      <c r="G342" s="28" t="s">
        <v>108</v>
      </c>
      <c r="H342" s="28" t="s">
        <v>1549</v>
      </c>
      <c r="I342" s="28" t="s">
        <v>1017</v>
      </c>
      <c r="J342" s="28" t="s">
        <v>1026</v>
      </c>
      <c r="K342" s="28" t="s">
        <v>1655</v>
      </c>
      <c r="L342" s="28" t="s">
        <v>1068</v>
      </c>
      <c r="M342" s="28" t="s">
        <v>1069</v>
      </c>
      <c r="N342" s="28"/>
      <c r="O342" s="28"/>
      <c r="P342" s="28"/>
    </row>
    <row r="343" customFormat="false" ht="15" hidden="false" customHeight="false" outlineLevel="0" collapsed="false">
      <c r="A343" s="28" t="s">
        <v>1656</v>
      </c>
      <c r="B343" s="28" t="s">
        <v>1470</v>
      </c>
      <c r="C343" s="28" t="s">
        <v>1471</v>
      </c>
      <c r="D343" s="28" t="s">
        <v>1639</v>
      </c>
      <c r="E343" s="28" t="s">
        <v>1236</v>
      </c>
      <c r="F343" s="32" t="n">
        <v>1138.61</v>
      </c>
      <c r="G343" s="28" t="s">
        <v>108</v>
      </c>
      <c r="H343" s="28" t="s">
        <v>1549</v>
      </c>
      <c r="I343" s="28" t="s">
        <v>1017</v>
      </c>
      <c r="J343" s="28" t="s">
        <v>1026</v>
      </c>
      <c r="K343" s="28" t="s">
        <v>1657</v>
      </c>
      <c r="L343" s="28" t="s">
        <v>1068</v>
      </c>
      <c r="M343" s="28" t="s">
        <v>1069</v>
      </c>
      <c r="N343" s="28"/>
      <c r="O343" s="28"/>
      <c r="P343" s="28"/>
    </row>
    <row r="344" customFormat="false" ht="15" hidden="false" customHeight="false" outlineLevel="0" collapsed="false">
      <c r="A344" s="28" t="s">
        <v>1658</v>
      </c>
      <c r="B344" s="28" t="s">
        <v>1470</v>
      </c>
      <c r="C344" s="28" t="s">
        <v>1471</v>
      </c>
      <c r="D344" s="28" t="s">
        <v>1639</v>
      </c>
      <c r="E344" s="28" t="s">
        <v>1236</v>
      </c>
      <c r="F344" s="32" t="n">
        <v>762.73</v>
      </c>
      <c r="G344" s="28" t="s">
        <v>108</v>
      </c>
      <c r="H344" s="28" t="s">
        <v>1549</v>
      </c>
      <c r="I344" s="28" t="s">
        <v>1017</v>
      </c>
      <c r="J344" s="28" t="s">
        <v>1026</v>
      </c>
      <c r="K344" s="28" t="s">
        <v>1659</v>
      </c>
      <c r="L344" s="28" t="s">
        <v>1068</v>
      </c>
      <c r="M344" s="28" t="s">
        <v>1069</v>
      </c>
      <c r="N344" s="28"/>
      <c r="O344" s="28"/>
      <c r="P344" s="28"/>
    </row>
    <row r="345" customFormat="false" ht="15" hidden="false" customHeight="false" outlineLevel="0" collapsed="false">
      <c r="A345" s="28" t="s">
        <v>1660</v>
      </c>
      <c r="B345" s="28" t="s">
        <v>1470</v>
      </c>
      <c r="C345" s="28" t="s">
        <v>1471</v>
      </c>
      <c r="D345" s="28" t="s">
        <v>1639</v>
      </c>
      <c r="E345" s="28" t="s">
        <v>1236</v>
      </c>
      <c r="F345" s="32" t="n">
        <v>1239.6</v>
      </c>
      <c r="G345" s="28" t="s">
        <v>108</v>
      </c>
      <c r="H345" s="28" t="s">
        <v>1549</v>
      </c>
      <c r="I345" s="28" t="s">
        <v>1017</v>
      </c>
      <c r="J345" s="28" t="s">
        <v>1026</v>
      </c>
      <c r="K345" s="28" t="s">
        <v>1661</v>
      </c>
      <c r="L345" s="28" t="s">
        <v>1068</v>
      </c>
      <c r="M345" s="28" t="s">
        <v>1069</v>
      </c>
      <c r="N345" s="28"/>
      <c r="O345" s="28"/>
      <c r="P345" s="28"/>
    </row>
    <row r="346" customFormat="false" ht="15" hidden="false" customHeight="false" outlineLevel="0" collapsed="false">
      <c r="A346" s="28" t="s">
        <v>1662</v>
      </c>
      <c r="B346" s="28" t="s">
        <v>1470</v>
      </c>
      <c r="C346" s="28" t="s">
        <v>1471</v>
      </c>
      <c r="D346" s="28" t="s">
        <v>1639</v>
      </c>
      <c r="E346" s="28" t="s">
        <v>1236</v>
      </c>
      <c r="F346" s="32" t="n">
        <v>-574.26</v>
      </c>
      <c r="G346" s="28" t="s">
        <v>108</v>
      </c>
      <c r="H346" s="28" t="s">
        <v>1554</v>
      </c>
      <c r="I346" s="28" t="s">
        <v>1017</v>
      </c>
      <c r="J346" s="28" t="s">
        <v>1026</v>
      </c>
      <c r="K346" s="28" t="s">
        <v>1663</v>
      </c>
      <c r="L346" s="28" t="s">
        <v>1068</v>
      </c>
      <c r="M346" s="28" t="s">
        <v>1069</v>
      </c>
      <c r="N346" s="28"/>
      <c r="O346" s="28"/>
      <c r="P346" s="28"/>
    </row>
    <row r="347" customFormat="false" ht="15" hidden="false" customHeight="false" outlineLevel="0" collapsed="false">
      <c r="A347" s="28" t="s">
        <v>1664</v>
      </c>
      <c r="B347" s="28" t="s">
        <v>1470</v>
      </c>
      <c r="C347" s="28" t="s">
        <v>1471</v>
      </c>
      <c r="D347" s="28" t="s">
        <v>1639</v>
      </c>
      <c r="E347" s="28" t="s">
        <v>1236</v>
      </c>
      <c r="F347" s="32" t="n">
        <v>574.26</v>
      </c>
      <c r="G347" s="28" t="s">
        <v>108</v>
      </c>
      <c r="H347" s="28" t="s">
        <v>1582</v>
      </c>
      <c r="I347" s="28" t="s">
        <v>1017</v>
      </c>
      <c r="J347" s="28" t="s">
        <v>1026</v>
      </c>
      <c r="K347" s="28" t="s">
        <v>1663</v>
      </c>
      <c r="L347" s="28" t="s">
        <v>1068</v>
      </c>
      <c r="M347" s="28" t="s">
        <v>1069</v>
      </c>
      <c r="N347" s="28"/>
      <c r="O347" s="28"/>
      <c r="P347" s="28"/>
    </row>
    <row r="348" customFormat="false" ht="15" hidden="false" customHeight="false" outlineLevel="0" collapsed="false">
      <c r="A348" s="28" t="s">
        <v>1665</v>
      </c>
      <c r="B348" s="28" t="s">
        <v>1470</v>
      </c>
      <c r="C348" s="28" t="s">
        <v>1471</v>
      </c>
      <c r="D348" s="28" t="s">
        <v>1639</v>
      </c>
      <c r="E348" s="28" t="s">
        <v>1236</v>
      </c>
      <c r="F348" s="32" t="n">
        <v>-504.55</v>
      </c>
      <c r="G348" s="28" t="s">
        <v>108</v>
      </c>
      <c r="H348" s="28" t="s">
        <v>1554</v>
      </c>
      <c r="I348" s="28" t="s">
        <v>1017</v>
      </c>
      <c r="J348" s="28" t="s">
        <v>1026</v>
      </c>
      <c r="K348" s="28" t="s">
        <v>1666</v>
      </c>
      <c r="L348" s="28" t="s">
        <v>1068</v>
      </c>
      <c r="M348" s="28" t="s">
        <v>1069</v>
      </c>
      <c r="N348" s="28"/>
      <c r="O348" s="28"/>
      <c r="P348" s="28"/>
    </row>
    <row r="349" customFormat="false" ht="15" hidden="false" customHeight="false" outlineLevel="0" collapsed="false">
      <c r="A349" s="28" t="s">
        <v>1667</v>
      </c>
      <c r="B349" s="28" t="s">
        <v>1470</v>
      </c>
      <c r="C349" s="28" t="s">
        <v>1471</v>
      </c>
      <c r="D349" s="28" t="s">
        <v>1639</v>
      </c>
      <c r="E349" s="28" t="s">
        <v>1236</v>
      </c>
      <c r="F349" s="32" t="n">
        <v>1239.6</v>
      </c>
      <c r="G349" s="28" t="s">
        <v>108</v>
      </c>
      <c r="H349" s="28" t="s">
        <v>1582</v>
      </c>
      <c r="I349" s="28" t="s">
        <v>1017</v>
      </c>
      <c r="J349" s="28" t="s">
        <v>1026</v>
      </c>
      <c r="K349" s="28" t="s">
        <v>1661</v>
      </c>
      <c r="L349" s="28" t="s">
        <v>1068</v>
      </c>
      <c r="M349" s="28" t="s">
        <v>1069</v>
      </c>
      <c r="N349" s="28"/>
      <c r="O349" s="28"/>
      <c r="P349" s="28"/>
    </row>
    <row r="350" customFormat="false" ht="15" hidden="false" customHeight="false" outlineLevel="0" collapsed="false">
      <c r="A350" s="28" t="s">
        <v>1668</v>
      </c>
      <c r="B350" s="28" t="s">
        <v>1470</v>
      </c>
      <c r="C350" s="28" t="s">
        <v>1471</v>
      </c>
      <c r="D350" s="28" t="s">
        <v>1639</v>
      </c>
      <c r="E350" s="28" t="s">
        <v>1236</v>
      </c>
      <c r="F350" s="32" t="n">
        <v>90.91</v>
      </c>
      <c r="G350" s="28" t="s">
        <v>108</v>
      </c>
      <c r="H350" s="28" t="s">
        <v>1549</v>
      </c>
      <c r="I350" s="28" t="s">
        <v>1017</v>
      </c>
      <c r="J350" s="28" t="s">
        <v>1026</v>
      </c>
      <c r="K350" s="28" t="s">
        <v>1653</v>
      </c>
      <c r="L350" s="28" t="s">
        <v>1068</v>
      </c>
      <c r="M350" s="28" t="s">
        <v>1069</v>
      </c>
      <c r="N350" s="28"/>
      <c r="O350" s="28"/>
      <c r="P350" s="28"/>
    </row>
    <row r="351" customFormat="false" ht="15" hidden="false" customHeight="false" outlineLevel="0" collapsed="false">
      <c r="A351" s="28" t="s">
        <v>1669</v>
      </c>
      <c r="B351" s="28" t="s">
        <v>1470</v>
      </c>
      <c r="C351" s="28" t="s">
        <v>1471</v>
      </c>
      <c r="D351" s="28" t="s">
        <v>1639</v>
      </c>
      <c r="E351" s="28" t="s">
        <v>1236</v>
      </c>
      <c r="F351" s="32" t="n">
        <v>504.55</v>
      </c>
      <c r="G351" s="28" t="s">
        <v>108</v>
      </c>
      <c r="H351" s="28" t="s">
        <v>1549</v>
      </c>
      <c r="I351" s="28" t="s">
        <v>1017</v>
      </c>
      <c r="J351" s="28" t="s">
        <v>1026</v>
      </c>
      <c r="K351" s="28" t="s">
        <v>1666</v>
      </c>
      <c r="L351" s="28" t="s">
        <v>1068</v>
      </c>
      <c r="M351" s="28" t="s">
        <v>1069</v>
      </c>
      <c r="N351" s="28"/>
      <c r="O351" s="28"/>
      <c r="P351" s="28"/>
    </row>
    <row r="352" customFormat="false" ht="15" hidden="false" customHeight="false" outlineLevel="0" collapsed="false">
      <c r="A352" s="28" t="s">
        <v>1670</v>
      </c>
      <c r="B352" s="28" t="s">
        <v>1470</v>
      </c>
      <c r="C352" s="28" t="s">
        <v>1471</v>
      </c>
      <c r="D352" s="28" t="s">
        <v>1639</v>
      </c>
      <c r="E352" s="28" t="s">
        <v>1236</v>
      </c>
      <c r="F352" s="32" t="n">
        <v>762.73</v>
      </c>
      <c r="G352" s="28" t="s">
        <v>108</v>
      </c>
      <c r="H352" s="28" t="s">
        <v>1582</v>
      </c>
      <c r="I352" s="28" t="s">
        <v>1017</v>
      </c>
      <c r="J352" s="28" t="s">
        <v>1026</v>
      </c>
      <c r="K352" s="28" t="s">
        <v>1659</v>
      </c>
      <c r="L352" s="28" t="s">
        <v>1068</v>
      </c>
      <c r="M352" s="28" t="s">
        <v>1069</v>
      </c>
      <c r="N352" s="28"/>
      <c r="O352" s="28"/>
      <c r="P352" s="28"/>
    </row>
    <row r="353" customFormat="false" ht="15" hidden="false" customHeight="false" outlineLevel="0" collapsed="false">
      <c r="A353" s="28" t="s">
        <v>1671</v>
      </c>
      <c r="B353" s="28" t="s">
        <v>1470</v>
      </c>
      <c r="C353" s="28" t="s">
        <v>1471</v>
      </c>
      <c r="D353" s="28" t="s">
        <v>1639</v>
      </c>
      <c r="E353" s="28" t="s">
        <v>1236</v>
      </c>
      <c r="F353" s="32" t="n">
        <v>574.26</v>
      </c>
      <c r="G353" s="28" t="s">
        <v>108</v>
      </c>
      <c r="H353" s="28" t="s">
        <v>1549</v>
      </c>
      <c r="I353" s="28" t="s">
        <v>1017</v>
      </c>
      <c r="J353" s="28" t="s">
        <v>1026</v>
      </c>
      <c r="K353" s="28" t="s">
        <v>1663</v>
      </c>
      <c r="L353" s="28" t="s">
        <v>1068</v>
      </c>
      <c r="M353" s="28" t="s">
        <v>1069</v>
      </c>
      <c r="N353" s="28"/>
      <c r="O353" s="28"/>
      <c r="P353" s="28"/>
    </row>
    <row r="354" customFormat="false" ht="15" hidden="false" customHeight="false" outlineLevel="0" collapsed="false">
      <c r="A354" s="28" t="s">
        <v>1672</v>
      </c>
      <c r="B354" s="28" t="s">
        <v>1470</v>
      </c>
      <c r="C354" s="28" t="s">
        <v>1471</v>
      </c>
      <c r="D354" s="28" t="s">
        <v>1639</v>
      </c>
      <c r="E354" s="28" t="s">
        <v>1236</v>
      </c>
      <c r="F354" s="32" t="n">
        <v>909.09</v>
      </c>
      <c r="G354" s="28" t="s">
        <v>108</v>
      </c>
      <c r="H354" s="28" t="s">
        <v>1582</v>
      </c>
      <c r="I354" s="28" t="s">
        <v>1017</v>
      </c>
      <c r="J354" s="28" t="s">
        <v>1026</v>
      </c>
      <c r="K354" s="28" t="s">
        <v>1655</v>
      </c>
      <c r="L354" s="28" t="s">
        <v>1068</v>
      </c>
      <c r="M354" s="28" t="s">
        <v>1069</v>
      </c>
      <c r="N354" s="28"/>
      <c r="O354" s="28"/>
      <c r="P354" s="28"/>
    </row>
    <row r="355" customFormat="false" ht="15" hidden="false" customHeight="false" outlineLevel="0" collapsed="false">
      <c r="A355" s="28" t="s">
        <v>1673</v>
      </c>
      <c r="B355" s="28" t="s">
        <v>1470</v>
      </c>
      <c r="C355" s="28" t="s">
        <v>1471</v>
      </c>
      <c r="D355" s="28" t="s">
        <v>1639</v>
      </c>
      <c r="E355" s="28" t="s">
        <v>1236</v>
      </c>
      <c r="F355" s="32" t="n">
        <v>-50</v>
      </c>
      <c r="G355" s="28" t="s">
        <v>108</v>
      </c>
      <c r="H355" s="28" t="s">
        <v>1554</v>
      </c>
      <c r="I355" s="28" t="s">
        <v>1017</v>
      </c>
      <c r="J355" s="28" t="s">
        <v>1026</v>
      </c>
      <c r="K355" s="28" t="s">
        <v>1674</v>
      </c>
      <c r="L355" s="28" t="s">
        <v>1068</v>
      </c>
      <c r="M355" s="28" t="s">
        <v>1069</v>
      </c>
      <c r="N355" s="28"/>
      <c r="O355" s="28"/>
      <c r="P355" s="28"/>
    </row>
    <row r="356" customFormat="false" ht="15" hidden="false" customHeight="false" outlineLevel="0" collapsed="false">
      <c r="A356" s="28" t="s">
        <v>1675</v>
      </c>
      <c r="B356" s="28" t="s">
        <v>1470</v>
      </c>
      <c r="C356" s="28" t="s">
        <v>1471</v>
      </c>
      <c r="D356" s="28" t="s">
        <v>1639</v>
      </c>
      <c r="E356" s="28" t="s">
        <v>1236</v>
      </c>
      <c r="F356" s="32" t="n">
        <v>-909.09</v>
      </c>
      <c r="G356" s="28" t="s">
        <v>108</v>
      </c>
      <c r="H356" s="28" t="s">
        <v>1554</v>
      </c>
      <c r="I356" s="28" t="s">
        <v>1017</v>
      </c>
      <c r="J356" s="28" t="s">
        <v>1026</v>
      </c>
      <c r="K356" s="28" t="s">
        <v>1644</v>
      </c>
      <c r="L356" s="28" t="s">
        <v>1068</v>
      </c>
      <c r="M356" s="28" t="s">
        <v>1069</v>
      </c>
      <c r="N356" s="28"/>
      <c r="O356" s="28"/>
      <c r="P356" s="28"/>
    </row>
    <row r="357" customFormat="false" ht="15" hidden="false" customHeight="false" outlineLevel="0" collapsed="false">
      <c r="A357" s="28" t="s">
        <v>1676</v>
      </c>
      <c r="B357" s="28" t="s">
        <v>1470</v>
      </c>
      <c r="C357" s="28" t="s">
        <v>1471</v>
      </c>
      <c r="D357" s="28" t="s">
        <v>1639</v>
      </c>
      <c r="E357" s="28" t="s">
        <v>1236</v>
      </c>
      <c r="F357" s="32" t="n">
        <v>1138.61</v>
      </c>
      <c r="G357" s="28" t="s">
        <v>108</v>
      </c>
      <c r="H357" s="28" t="s">
        <v>1582</v>
      </c>
      <c r="I357" s="28" t="s">
        <v>1017</v>
      </c>
      <c r="J357" s="28" t="s">
        <v>1026</v>
      </c>
      <c r="K357" s="28" t="s">
        <v>1657</v>
      </c>
      <c r="L357" s="28" t="s">
        <v>1068</v>
      </c>
      <c r="M357" s="28" t="s">
        <v>1069</v>
      </c>
      <c r="N357" s="28"/>
      <c r="O357" s="28"/>
      <c r="P357" s="28"/>
    </row>
    <row r="358" customFormat="false" ht="15" hidden="false" customHeight="false" outlineLevel="0" collapsed="false">
      <c r="A358" s="28" t="s">
        <v>1677</v>
      </c>
      <c r="B358" s="28" t="s">
        <v>1470</v>
      </c>
      <c r="C358" s="28" t="s">
        <v>1471</v>
      </c>
      <c r="D358" s="28" t="s">
        <v>1639</v>
      </c>
      <c r="E358" s="28" t="s">
        <v>1236</v>
      </c>
      <c r="F358" s="32" t="n">
        <v>-636.36</v>
      </c>
      <c r="G358" s="28" t="s">
        <v>108</v>
      </c>
      <c r="H358" s="28" t="s">
        <v>1554</v>
      </c>
      <c r="I358" s="28" t="s">
        <v>1017</v>
      </c>
      <c r="J358" s="28" t="s">
        <v>1026</v>
      </c>
      <c r="K358" s="28" t="s">
        <v>1678</v>
      </c>
      <c r="L358" s="28" t="s">
        <v>1068</v>
      </c>
      <c r="M358" s="28" t="s">
        <v>1069</v>
      </c>
      <c r="N358" s="28"/>
      <c r="O358" s="28"/>
      <c r="P358" s="28"/>
    </row>
    <row r="359" customFormat="false" ht="15" hidden="false" customHeight="false" outlineLevel="0" collapsed="false">
      <c r="A359" s="28" t="s">
        <v>1679</v>
      </c>
      <c r="B359" s="28" t="s">
        <v>1470</v>
      </c>
      <c r="C359" s="28" t="s">
        <v>1471</v>
      </c>
      <c r="D359" s="28" t="s">
        <v>1639</v>
      </c>
      <c r="E359" s="28" t="s">
        <v>1236</v>
      </c>
      <c r="F359" s="32" t="n">
        <v>-345.45</v>
      </c>
      <c r="G359" s="28" t="s">
        <v>108</v>
      </c>
      <c r="H359" s="28" t="s">
        <v>1554</v>
      </c>
      <c r="I359" s="28" t="s">
        <v>1017</v>
      </c>
      <c r="J359" s="28" t="s">
        <v>1026</v>
      </c>
      <c r="K359" s="28" t="s">
        <v>1680</v>
      </c>
      <c r="L359" s="28" t="s">
        <v>1068</v>
      </c>
      <c r="M359" s="28" t="s">
        <v>1069</v>
      </c>
      <c r="N359" s="28"/>
      <c r="O359" s="28"/>
      <c r="P359" s="28"/>
    </row>
    <row r="360" customFormat="false" ht="15" hidden="false" customHeight="false" outlineLevel="0" collapsed="false">
      <c r="A360" s="28" t="s">
        <v>1681</v>
      </c>
      <c r="B360" s="28" t="s">
        <v>1470</v>
      </c>
      <c r="C360" s="28" t="s">
        <v>1471</v>
      </c>
      <c r="D360" s="28" t="s">
        <v>1639</v>
      </c>
      <c r="E360" s="28" t="s">
        <v>1236</v>
      </c>
      <c r="F360" s="32" t="n">
        <v>636.36</v>
      </c>
      <c r="G360" s="28" t="s">
        <v>108</v>
      </c>
      <c r="H360" s="28" t="s">
        <v>1582</v>
      </c>
      <c r="I360" s="28" t="s">
        <v>1017</v>
      </c>
      <c r="J360" s="28" t="s">
        <v>1026</v>
      </c>
      <c r="K360" s="28" t="s">
        <v>1678</v>
      </c>
      <c r="L360" s="28" t="s">
        <v>1068</v>
      </c>
      <c r="M360" s="28" t="s">
        <v>1069</v>
      </c>
      <c r="N360" s="28"/>
      <c r="O360" s="28"/>
      <c r="P360" s="28"/>
    </row>
    <row r="361" customFormat="false" ht="15" hidden="false" customHeight="false" outlineLevel="0" collapsed="false">
      <c r="A361" s="28" t="s">
        <v>1682</v>
      </c>
      <c r="B361" s="28" t="s">
        <v>1470</v>
      </c>
      <c r="C361" s="28" t="s">
        <v>1471</v>
      </c>
      <c r="D361" s="28" t="s">
        <v>1639</v>
      </c>
      <c r="E361" s="28" t="s">
        <v>1236</v>
      </c>
      <c r="F361" s="32" t="n">
        <v>420.79</v>
      </c>
      <c r="G361" s="28" t="s">
        <v>108</v>
      </c>
      <c r="H361" s="28" t="s">
        <v>1549</v>
      </c>
      <c r="I361" s="28" t="s">
        <v>1017</v>
      </c>
      <c r="J361" s="28" t="s">
        <v>1026</v>
      </c>
      <c r="K361" s="28" t="s">
        <v>1646</v>
      </c>
      <c r="L361" s="28" t="s">
        <v>1068</v>
      </c>
      <c r="M361" s="28" t="s">
        <v>1069</v>
      </c>
      <c r="N361" s="28"/>
      <c r="O361" s="28"/>
      <c r="P361" s="28"/>
    </row>
    <row r="362" customFormat="false" ht="15" hidden="false" customHeight="false" outlineLevel="0" collapsed="false">
      <c r="A362" s="28" t="s">
        <v>1683</v>
      </c>
      <c r="B362" s="28" t="s">
        <v>1466</v>
      </c>
      <c r="C362" s="28" t="s">
        <v>1467</v>
      </c>
      <c r="D362" s="28" t="s">
        <v>1639</v>
      </c>
      <c r="E362" s="28" t="s">
        <v>1236</v>
      </c>
      <c r="F362" s="32" t="n">
        <v>1163.64</v>
      </c>
      <c r="G362" s="28" t="s">
        <v>108</v>
      </c>
      <c r="H362" s="28" t="s">
        <v>1684</v>
      </c>
      <c r="I362" s="28" t="s">
        <v>1260</v>
      </c>
      <c r="J362" s="28" t="s">
        <v>1260</v>
      </c>
      <c r="K362" s="28" t="s">
        <v>1685</v>
      </c>
      <c r="L362" s="28" t="s">
        <v>1068</v>
      </c>
      <c r="M362" s="28" t="s">
        <v>1069</v>
      </c>
      <c r="N362" s="28"/>
      <c r="O362" s="28"/>
      <c r="P362" s="28"/>
    </row>
    <row r="363" customFormat="false" ht="15" hidden="false" customHeight="false" outlineLevel="0" collapsed="false">
      <c r="A363" s="28" t="s">
        <v>1686</v>
      </c>
      <c r="B363" s="28" t="s">
        <v>1470</v>
      </c>
      <c r="C363" s="28" t="s">
        <v>1471</v>
      </c>
      <c r="D363" s="28" t="s">
        <v>1639</v>
      </c>
      <c r="E363" s="28" t="s">
        <v>1236</v>
      </c>
      <c r="F363" s="32" t="n">
        <v>250.01</v>
      </c>
      <c r="G363" s="28" t="s">
        <v>108</v>
      </c>
      <c r="H363" s="28" t="s">
        <v>1687</v>
      </c>
      <c r="I363" s="28" t="s">
        <v>1106</v>
      </c>
      <c r="J363" s="28" t="s">
        <v>1045</v>
      </c>
      <c r="K363" s="28" t="s">
        <v>1688</v>
      </c>
      <c r="L363" s="28" t="s">
        <v>1068</v>
      </c>
      <c r="M363" s="28" t="s">
        <v>1069</v>
      </c>
      <c r="N363" s="28"/>
      <c r="O363" s="28"/>
      <c r="P363" s="28"/>
    </row>
    <row r="364" customFormat="false" ht="15" hidden="false" customHeight="false" outlineLevel="0" collapsed="false">
      <c r="A364" s="28" t="s">
        <v>1689</v>
      </c>
      <c r="B364" s="28" t="s">
        <v>1470</v>
      </c>
      <c r="C364" s="28" t="s">
        <v>1471</v>
      </c>
      <c r="D364" s="28" t="s">
        <v>1639</v>
      </c>
      <c r="E364" s="28" t="s">
        <v>1236</v>
      </c>
      <c r="F364" s="32" t="n">
        <v>345.45</v>
      </c>
      <c r="G364" s="28" t="s">
        <v>108</v>
      </c>
      <c r="H364" s="28" t="s">
        <v>1549</v>
      </c>
      <c r="I364" s="28" t="s">
        <v>1017</v>
      </c>
      <c r="J364" s="28" t="s">
        <v>1026</v>
      </c>
      <c r="K364" s="28" t="s">
        <v>1680</v>
      </c>
      <c r="L364" s="28" t="s">
        <v>1068</v>
      </c>
      <c r="M364" s="28" t="s">
        <v>1069</v>
      </c>
      <c r="N364" s="28"/>
      <c r="O364" s="28"/>
      <c r="P364" s="28"/>
    </row>
    <row r="365" customFormat="false" ht="15" hidden="false" customHeight="false" outlineLevel="0" collapsed="false">
      <c r="A365" s="28" t="s">
        <v>1690</v>
      </c>
      <c r="B365" s="28" t="s">
        <v>1470</v>
      </c>
      <c r="C365" s="28" t="s">
        <v>1471</v>
      </c>
      <c r="D365" s="28" t="s">
        <v>1639</v>
      </c>
      <c r="E365" s="28" t="s">
        <v>1236</v>
      </c>
      <c r="F365" s="32" t="n">
        <v>-1138.61</v>
      </c>
      <c r="G365" s="28" t="s">
        <v>108</v>
      </c>
      <c r="H365" s="28" t="s">
        <v>1554</v>
      </c>
      <c r="I365" s="28" t="s">
        <v>1017</v>
      </c>
      <c r="J365" s="28" t="s">
        <v>1026</v>
      </c>
      <c r="K365" s="28" t="s">
        <v>1657</v>
      </c>
      <c r="L365" s="28" t="s">
        <v>1068</v>
      </c>
      <c r="M365" s="28" t="s">
        <v>1069</v>
      </c>
      <c r="N365" s="28"/>
      <c r="O365" s="28"/>
      <c r="P365" s="28"/>
    </row>
    <row r="366" customFormat="false" ht="15" hidden="false" customHeight="false" outlineLevel="0" collapsed="false">
      <c r="A366" s="28" t="s">
        <v>1691</v>
      </c>
      <c r="B366" s="28" t="s">
        <v>1470</v>
      </c>
      <c r="C366" s="28" t="s">
        <v>1471</v>
      </c>
      <c r="D366" s="28" t="s">
        <v>1639</v>
      </c>
      <c r="E366" s="28" t="s">
        <v>1236</v>
      </c>
      <c r="F366" s="32" t="n">
        <v>48872.73</v>
      </c>
      <c r="G366" s="28" t="s">
        <v>108</v>
      </c>
      <c r="H366" s="28" t="s">
        <v>1692</v>
      </c>
      <c r="I366" s="28" t="s">
        <v>1017</v>
      </c>
      <c r="J366" s="28" t="s">
        <v>1017</v>
      </c>
      <c r="K366" s="28" t="s">
        <v>1693</v>
      </c>
      <c r="L366" s="28" t="s">
        <v>899</v>
      </c>
      <c r="M366" s="28" t="s">
        <v>1240</v>
      </c>
      <c r="N366" s="28"/>
      <c r="O366" s="28"/>
      <c r="P366" s="28"/>
    </row>
    <row r="367" customFormat="false" ht="15" hidden="false" customHeight="false" outlineLevel="0" collapsed="false">
      <c r="A367" s="28" t="s">
        <v>1694</v>
      </c>
      <c r="B367" s="28" t="s">
        <v>1470</v>
      </c>
      <c r="C367" s="28" t="s">
        <v>1471</v>
      </c>
      <c r="D367" s="28" t="s">
        <v>1639</v>
      </c>
      <c r="E367" s="28" t="s">
        <v>1236</v>
      </c>
      <c r="F367" s="32" t="n">
        <v>-296.15</v>
      </c>
      <c r="G367" s="28" t="s">
        <v>108</v>
      </c>
      <c r="H367" s="28" t="s">
        <v>1554</v>
      </c>
      <c r="I367" s="28" t="s">
        <v>1017</v>
      </c>
      <c r="J367" s="28" t="s">
        <v>1026</v>
      </c>
      <c r="K367" s="28" t="s">
        <v>1649</v>
      </c>
      <c r="L367" s="28" t="s">
        <v>1068</v>
      </c>
      <c r="M367" s="28" t="s">
        <v>1069</v>
      </c>
      <c r="N367" s="28"/>
      <c r="O367" s="28"/>
      <c r="P367" s="28"/>
    </row>
    <row r="368" customFormat="false" ht="15" hidden="false" customHeight="false" outlineLevel="0" collapsed="false">
      <c r="A368" s="28" t="s">
        <v>1695</v>
      </c>
      <c r="B368" s="28" t="s">
        <v>1470</v>
      </c>
      <c r="C368" s="28" t="s">
        <v>1471</v>
      </c>
      <c r="D368" s="28" t="s">
        <v>1639</v>
      </c>
      <c r="E368" s="28" t="s">
        <v>1236</v>
      </c>
      <c r="F368" s="32" t="n">
        <v>968.18</v>
      </c>
      <c r="G368" s="28" t="s">
        <v>108</v>
      </c>
      <c r="H368" s="28" t="s">
        <v>1549</v>
      </c>
      <c r="I368" s="28" t="s">
        <v>1017</v>
      </c>
      <c r="J368" s="28" t="s">
        <v>1026</v>
      </c>
      <c r="K368" s="28" t="s">
        <v>1642</v>
      </c>
      <c r="L368" s="28" t="s">
        <v>1068</v>
      </c>
      <c r="M368" s="28" t="s">
        <v>1069</v>
      </c>
      <c r="N368" s="28"/>
      <c r="O368" s="28"/>
      <c r="P368" s="28"/>
    </row>
    <row r="369" customFormat="false" ht="15" hidden="false" customHeight="false" outlineLevel="0" collapsed="false">
      <c r="A369" s="28" t="s">
        <v>1696</v>
      </c>
      <c r="B369" s="28" t="s">
        <v>1470</v>
      </c>
      <c r="C369" s="28" t="s">
        <v>1471</v>
      </c>
      <c r="D369" s="28" t="s">
        <v>1639</v>
      </c>
      <c r="E369" s="28" t="s">
        <v>1236</v>
      </c>
      <c r="F369" s="32" t="n">
        <v>-90.91</v>
      </c>
      <c r="G369" s="28" t="s">
        <v>108</v>
      </c>
      <c r="H369" s="28" t="s">
        <v>1554</v>
      </c>
      <c r="I369" s="28" t="s">
        <v>1017</v>
      </c>
      <c r="J369" s="28" t="s">
        <v>1026</v>
      </c>
      <c r="K369" s="28" t="s">
        <v>1653</v>
      </c>
      <c r="L369" s="28" t="s">
        <v>1068</v>
      </c>
      <c r="M369" s="28" t="s">
        <v>1069</v>
      </c>
      <c r="N369" s="28"/>
      <c r="O369" s="28"/>
      <c r="P369" s="28"/>
    </row>
    <row r="370" customFormat="false" ht="15" hidden="false" customHeight="false" outlineLevel="0" collapsed="false">
      <c r="A370" s="28" t="s">
        <v>1697</v>
      </c>
      <c r="B370" s="28" t="s">
        <v>1470</v>
      </c>
      <c r="C370" s="28" t="s">
        <v>1471</v>
      </c>
      <c r="D370" s="28" t="s">
        <v>1639</v>
      </c>
      <c r="E370" s="28" t="s">
        <v>1236</v>
      </c>
      <c r="F370" s="32" t="n">
        <v>18470.87</v>
      </c>
      <c r="G370" s="28" t="s">
        <v>108</v>
      </c>
      <c r="H370" s="28" t="s">
        <v>1698</v>
      </c>
      <c r="I370" s="28" t="s">
        <v>1074</v>
      </c>
      <c r="J370" s="28" t="s">
        <v>1074</v>
      </c>
      <c r="K370" s="28" t="s">
        <v>1699</v>
      </c>
      <c r="L370" s="28" t="s">
        <v>899</v>
      </c>
      <c r="M370" s="28" t="s">
        <v>1240</v>
      </c>
      <c r="N370" s="28"/>
      <c r="O370" s="28"/>
      <c r="P370" s="28"/>
    </row>
    <row r="371" customFormat="false" ht="15" hidden="false" customHeight="false" outlineLevel="0" collapsed="false">
      <c r="A371" s="28" t="s">
        <v>1700</v>
      </c>
      <c r="B371" s="28" t="s">
        <v>1470</v>
      </c>
      <c r="C371" s="28" t="s">
        <v>1471</v>
      </c>
      <c r="D371" s="28" t="s">
        <v>1639</v>
      </c>
      <c r="E371" s="28" t="s">
        <v>1236</v>
      </c>
      <c r="F371" s="32" t="n">
        <v>-1239.6</v>
      </c>
      <c r="G371" s="28" t="s">
        <v>108</v>
      </c>
      <c r="H371" s="28" t="s">
        <v>1554</v>
      </c>
      <c r="I371" s="28" t="s">
        <v>1017</v>
      </c>
      <c r="J371" s="28" t="s">
        <v>1026</v>
      </c>
      <c r="K371" s="28" t="s">
        <v>1661</v>
      </c>
      <c r="L371" s="28" t="s">
        <v>1068</v>
      </c>
      <c r="M371" s="28" t="s">
        <v>1069</v>
      </c>
      <c r="N371" s="28"/>
      <c r="O371" s="28"/>
      <c r="P371" s="28"/>
    </row>
    <row r="372" customFormat="false" ht="15" hidden="false" customHeight="false" outlineLevel="0" collapsed="false">
      <c r="A372" s="28" t="s">
        <v>1701</v>
      </c>
      <c r="B372" s="28" t="s">
        <v>1470</v>
      </c>
      <c r="C372" s="28" t="s">
        <v>1471</v>
      </c>
      <c r="D372" s="28" t="s">
        <v>1639</v>
      </c>
      <c r="E372" s="28" t="s">
        <v>1236</v>
      </c>
      <c r="F372" s="32" t="n">
        <v>-909.09</v>
      </c>
      <c r="G372" s="28" t="s">
        <v>108</v>
      </c>
      <c r="H372" s="28" t="s">
        <v>1554</v>
      </c>
      <c r="I372" s="28" t="s">
        <v>1017</v>
      </c>
      <c r="J372" s="28" t="s">
        <v>1026</v>
      </c>
      <c r="K372" s="28" t="s">
        <v>1655</v>
      </c>
      <c r="L372" s="28" t="s">
        <v>1068</v>
      </c>
      <c r="M372" s="28" t="s">
        <v>1069</v>
      </c>
      <c r="N372" s="28"/>
      <c r="O372" s="28"/>
      <c r="P372" s="28"/>
    </row>
    <row r="373" customFormat="false" ht="15" hidden="false" customHeight="false" outlineLevel="0" collapsed="false">
      <c r="A373" s="28" t="s">
        <v>1702</v>
      </c>
      <c r="B373" s="28" t="s">
        <v>1470</v>
      </c>
      <c r="C373" s="28" t="s">
        <v>1471</v>
      </c>
      <c r="D373" s="28" t="s">
        <v>1639</v>
      </c>
      <c r="E373" s="28" t="s">
        <v>1236</v>
      </c>
      <c r="F373" s="32" t="n">
        <v>296.15</v>
      </c>
      <c r="G373" s="28" t="s">
        <v>108</v>
      </c>
      <c r="H373" s="28" t="s">
        <v>1582</v>
      </c>
      <c r="I373" s="28" t="s">
        <v>1017</v>
      </c>
      <c r="J373" s="28" t="s">
        <v>1026</v>
      </c>
      <c r="K373" s="28" t="s">
        <v>1649</v>
      </c>
      <c r="L373" s="28" t="s">
        <v>1068</v>
      </c>
      <c r="M373" s="28" t="s">
        <v>1069</v>
      </c>
      <c r="N373" s="28"/>
      <c r="O373" s="28"/>
      <c r="P373" s="28"/>
    </row>
    <row r="374" customFormat="false" ht="15" hidden="false" customHeight="false" outlineLevel="0" collapsed="false">
      <c r="A374" s="28" t="s">
        <v>1703</v>
      </c>
      <c r="B374" s="28" t="s">
        <v>1470</v>
      </c>
      <c r="C374" s="28" t="s">
        <v>1471</v>
      </c>
      <c r="D374" s="28" t="s">
        <v>1639</v>
      </c>
      <c r="E374" s="28" t="s">
        <v>1236</v>
      </c>
      <c r="F374" s="32" t="n">
        <v>50</v>
      </c>
      <c r="G374" s="28" t="s">
        <v>108</v>
      </c>
      <c r="H374" s="28" t="s">
        <v>1582</v>
      </c>
      <c r="I374" s="28" t="s">
        <v>1017</v>
      </c>
      <c r="J374" s="28" t="s">
        <v>1026</v>
      </c>
      <c r="K374" s="28" t="s">
        <v>1674</v>
      </c>
      <c r="L374" s="28" t="s">
        <v>1068</v>
      </c>
      <c r="M374" s="28" t="s">
        <v>1069</v>
      </c>
      <c r="N374" s="28"/>
      <c r="O374" s="28"/>
      <c r="P374" s="28"/>
    </row>
    <row r="375" customFormat="false" ht="15" hidden="false" customHeight="false" outlineLevel="0" collapsed="false">
      <c r="A375" s="28" t="s">
        <v>1704</v>
      </c>
      <c r="B375" s="28" t="s">
        <v>1470</v>
      </c>
      <c r="C375" s="28" t="s">
        <v>1471</v>
      </c>
      <c r="D375" s="28" t="s">
        <v>1639</v>
      </c>
      <c r="E375" s="28" t="s">
        <v>1236</v>
      </c>
      <c r="F375" s="32" t="n">
        <v>345.45</v>
      </c>
      <c r="G375" s="28" t="s">
        <v>108</v>
      </c>
      <c r="H375" s="28" t="s">
        <v>1582</v>
      </c>
      <c r="I375" s="28" t="s">
        <v>1017</v>
      </c>
      <c r="J375" s="28" t="s">
        <v>1026</v>
      </c>
      <c r="K375" s="28" t="s">
        <v>1680</v>
      </c>
      <c r="L375" s="28" t="s">
        <v>1068</v>
      </c>
      <c r="M375" s="28" t="s">
        <v>1069</v>
      </c>
      <c r="N375" s="28"/>
      <c r="O375" s="28"/>
      <c r="P375" s="28"/>
    </row>
    <row r="376" customFormat="false" ht="15" hidden="false" customHeight="false" outlineLevel="0" collapsed="false">
      <c r="A376" s="28" t="s">
        <v>1705</v>
      </c>
      <c r="B376" s="28" t="s">
        <v>1470</v>
      </c>
      <c r="C376" s="28" t="s">
        <v>1471</v>
      </c>
      <c r="D376" s="28" t="s">
        <v>1639</v>
      </c>
      <c r="E376" s="28" t="s">
        <v>1236</v>
      </c>
      <c r="F376" s="32" t="n">
        <v>-762.73</v>
      </c>
      <c r="G376" s="28" t="s">
        <v>108</v>
      </c>
      <c r="H376" s="28" t="s">
        <v>1554</v>
      </c>
      <c r="I376" s="28" t="s">
        <v>1017</v>
      </c>
      <c r="J376" s="28" t="s">
        <v>1026</v>
      </c>
      <c r="K376" s="28" t="s">
        <v>1659</v>
      </c>
      <c r="L376" s="28" t="s">
        <v>1068</v>
      </c>
      <c r="M376" s="28" t="s">
        <v>1069</v>
      </c>
      <c r="N376" s="28"/>
      <c r="O376" s="28"/>
      <c r="P376" s="28"/>
    </row>
    <row r="377" customFormat="false" ht="15" hidden="false" customHeight="false" outlineLevel="0" collapsed="false">
      <c r="A377" s="28" t="s">
        <v>1706</v>
      </c>
      <c r="B377" s="28" t="s">
        <v>1470</v>
      </c>
      <c r="C377" s="28" t="s">
        <v>1471</v>
      </c>
      <c r="D377" s="28" t="s">
        <v>1639</v>
      </c>
      <c r="E377" s="28" t="s">
        <v>1236</v>
      </c>
      <c r="F377" s="32" t="n">
        <v>504.55</v>
      </c>
      <c r="G377" s="28" t="s">
        <v>108</v>
      </c>
      <c r="H377" s="28" t="s">
        <v>1582</v>
      </c>
      <c r="I377" s="28" t="s">
        <v>1017</v>
      </c>
      <c r="J377" s="28" t="s">
        <v>1026</v>
      </c>
      <c r="K377" s="28" t="s">
        <v>1666</v>
      </c>
      <c r="L377" s="28" t="s">
        <v>1068</v>
      </c>
      <c r="M377" s="28" t="s">
        <v>1069</v>
      </c>
      <c r="N377" s="28"/>
      <c r="O377" s="28"/>
      <c r="P377" s="28"/>
    </row>
    <row r="378" customFormat="false" ht="15" hidden="false" customHeight="false" outlineLevel="0" collapsed="false">
      <c r="A378" s="28" t="s">
        <v>1707</v>
      </c>
      <c r="B378" s="28" t="s">
        <v>1470</v>
      </c>
      <c r="C378" s="28" t="s">
        <v>1471</v>
      </c>
      <c r="D378" s="28" t="s">
        <v>1639</v>
      </c>
      <c r="E378" s="28" t="s">
        <v>1236</v>
      </c>
      <c r="F378" s="32" t="n">
        <v>909.09</v>
      </c>
      <c r="G378" s="28" t="s">
        <v>108</v>
      </c>
      <c r="H378" s="28" t="s">
        <v>1582</v>
      </c>
      <c r="I378" s="28" t="s">
        <v>1017</v>
      </c>
      <c r="J378" s="28" t="s">
        <v>1026</v>
      </c>
      <c r="K378" s="28" t="s">
        <v>1644</v>
      </c>
      <c r="L378" s="28" t="s">
        <v>1068</v>
      </c>
      <c r="M378" s="28" t="s">
        <v>1069</v>
      </c>
      <c r="N378" s="28"/>
      <c r="O378" s="28"/>
      <c r="P378" s="28"/>
    </row>
    <row r="379" customFormat="false" ht="15" hidden="false" customHeight="false" outlineLevel="0" collapsed="false">
      <c r="A379" s="28" t="s">
        <v>1708</v>
      </c>
      <c r="B379" s="28" t="s">
        <v>1470</v>
      </c>
      <c r="C379" s="28" t="s">
        <v>1471</v>
      </c>
      <c r="D379" s="28" t="s">
        <v>1639</v>
      </c>
      <c r="E379" s="28" t="s">
        <v>1236</v>
      </c>
      <c r="F379" s="32" t="n">
        <v>50</v>
      </c>
      <c r="G379" s="28" t="s">
        <v>108</v>
      </c>
      <c r="H379" s="28" t="s">
        <v>1549</v>
      </c>
      <c r="I379" s="28" t="s">
        <v>1017</v>
      </c>
      <c r="J379" s="28" t="s">
        <v>1026</v>
      </c>
      <c r="K379" s="28" t="s">
        <v>1674</v>
      </c>
      <c r="L379" s="28" t="s">
        <v>1068</v>
      </c>
      <c r="M379" s="28" t="s">
        <v>1069</v>
      </c>
      <c r="N379" s="28"/>
      <c r="O379" s="28"/>
      <c r="P379" s="28"/>
    </row>
    <row r="380" customFormat="false" ht="15" hidden="false" customHeight="false" outlineLevel="0" collapsed="false">
      <c r="A380" s="28" t="s">
        <v>1709</v>
      </c>
      <c r="B380" s="28" t="s">
        <v>1470</v>
      </c>
      <c r="C380" s="28" t="s">
        <v>1471</v>
      </c>
      <c r="D380" s="28" t="s">
        <v>1639</v>
      </c>
      <c r="E380" s="28" t="s">
        <v>1236</v>
      </c>
      <c r="F380" s="32" t="n">
        <v>581.82</v>
      </c>
      <c r="G380" s="28" t="s">
        <v>108</v>
      </c>
      <c r="H380" s="28" t="s">
        <v>1582</v>
      </c>
      <c r="I380" s="28" t="s">
        <v>1017</v>
      </c>
      <c r="J380" s="28" t="s">
        <v>1026</v>
      </c>
      <c r="K380" s="28" t="s">
        <v>1640</v>
      </c>
      <c r="L380" s="28" t="s">
        <v>1068</v>
      </c>
      <c r="M380" s="28" t="s">
        <v>1069</v>
      </c>
      <c r="N380" s="28"/>
      <c r="O380" s="28"/>
      <c r="P380" s="28"/>
    </row>
    <row r="381" customFormat="false" ht="15" hidden="false" customHeight="false" outlineLevel="0" collapsed="false">
      <c r="A381" s="28" t="s">
        <v>1710</v>
      </c>
      <c r="B381" s="28" t="s">
        <v>1470</v>
      </c>
      <c r="C381" s="28" t="s">
        <v>1471</v>
      </c>
      <c r="D381" s="28" t="s">
        <v>1639</v>
      </c>
      <c r="E381" s="28" t="s">
        <v>1236</v>
      </c>
      <c r="F381" s="32" t="n">
        <v>636.36</v>
      </c>
      <c r="G381" s="28" t="s">
        <v>108</v>
      </c>
      <c r="H381" s="28" t="s">
        <v>1549</v>
      </c>
      <c r="I381" s="28" t="s">
        <v>1017</v>
      </c>
      <c r="J381" s="28" t="s">
        <v>1026</v>
      </c>
      <c r="K381" s="28" t="s">
        <v>1678</v>
      </c>
      <c r="L381" s="28" t="s">
        <v>1068</v>
      </c>
      <c r="M381" s="28" t="s">
        <v>1069</v>
      </c>
      <c r="N381" s="28"/>
      <c r="O381" s="28"/>
      <c r="P381" s="28"/>
    </row>
    <row r="382" customFormat="false" ht="15" hidden="false" customHeight="false" outlineLevel="0" collapsed="false">
      <c r="A382" s="28" t="s">
        <v>1711</v>
      </c>
      <c r="B382" s="28" t="s">
        <v>1466</v>
      </c>
      <c r="C382" s="28" t="s">
        <v>1467</v>
      </c>
      <c r="D382" s="28" t="s">
        <v>1712</v>
      </c>
      <c r="E382" s="28" t="s">
        <v>1246</v>
      </c>
      <c r="F382" s="32" t="n">
        <v>1297.44</v>
      </c>
      <c r="G382" s="28" t="s">
        <v>108</v>
      </c>
      <c r="H382" s="28" t="s">
        <v>1713</v>
      </c>
      <c r="I382" s="28" t="s">
        <v>1260</v>
      </c>
      <c r="J382" s="28" t="s">
        <v>1260</v>
      </c>
      <c r="K382" s="28" t="s">
        <v>1714</v>
      </c>
      <c r="L382" s="28" t="s">
        <v>1006</v>
      </c>
      <c r="M382" s="28"/>
      <c r="N382" s="28"/>
      <c r="O382" s="28"/>
      <c r="P382" s="28"/>
    </row>
    <row r="383" customFormat="false" ht="15" hidden="false" customHeight="false" outlineLevel="0" collapsed="false">
      <c r="A383" s="28" t="s">
        <v>1715</v>
      </c>
      <c r="B383" s="28" t="s">
        <v>1466</v>
      </c>
      <c r="C383" s="28" t="s">
        <v>1467</v>
      </c>
      <c r="D383" s="28" t="s">
        <v>1712</v>
      </c>
      <c r="E383" s="28" t="s">
        <v>1246</v>
      </c>
      <c r="F383" s="32" t="n">
        <v>-2654.68</v>
      </c>
      <c r="G383" s="28" t="s">
        <v>108</v>
      </c>
      <c r="H383" s="28" t="s">
        <v>1265</v>
      </c>
      <c r="I383" s="28" t="s">
        <v>881</v>
      </c>
      <c r="J383" s="28" t="s">
        <v>881</v>
      </c>
      <c r="K383" s="28" t="s">
        <v>1256</v>
      </c>
      <c r="L383" s="28" t="s">
        <v>899</v>
      </c>
      <c r="M383" s="28" t="s">
        <v>1253</v>
      </c>
      <c r="N383" s="28"/>
      <c r="O383" s="28"/>
      <c r="P383" s="28"/>
    </row>
    <row r="384" customFormat="false" ht="15" hidden="false" customHeight="false" outlineLevel="0" collapsed="false">
      <c r="A384" s="28" t="s">
        <v>1716</v>
      </c>
      <c r="B384" s="28" t="s">
        <v>1466</v>
      </c>
      <c r="C384" s="28" t="s">
        <v>1467</v>
      </c>
      <c r="D384" s="28" t="s">
        <v>1712</v>
      </c>
      <c r="E384" s="28" t="s">
        <v>1246</v>
      </c>
      <c r="F384" s="32" t="n">
        <v>2725.09</v>
      </c>
      <c r="G384" s="28" t="s">
        <v>108</v>
      </c>
      <c r="H384" s="28" t="s">
        <v>1717</v>
      </c>
      <c r="I384" s="28" t="s">
        <v>1049</v>
      </c>
      <c r="J384" s="28" t="s">
        <v>1049</v>
      </c>
      <c r="K384" s="28" t="s">
        <v>1718</v>
      </c>
      <c r="L384" s="28" t="s">
        <v>899</v>
      </c>
      <c r="M384" s="28" t="s">
        <v>1253</v>
      </c>
      <c r="N384" s="28"/>
      <c r="O384" s="28"/>
      <c r="P384" s="28"/>
    </row>
    <row r="385" customFormat="false" ht="15" hidden="false" customHeight="false" outlineLevel="0" collapsed="false">
      <c r="A385" s="28" t="s">
        <v>1719</v>
      </c>
      <c r="B385" s="28" t="s">
        <v>1466</v>
      </c>
      <c r="C385" s="28" t="s">
        <v>1467</v>
      </c>
      <c r="D385" s="28" t="s">
        <v>1712</v>
      </c>
      <c r="E385" s="28" t="s">
        <v>1246</v>
      </c>
      <c r="F385" s="32" t="n">
        <v>3843</v>
      </c>
      <c r="G385" s="28" t="s">
        <v>108</v>
      </c>
      <c r="H385" s="28" t="s">
        <v>1720</v>
      </c>
      <c r="I385" s="28" t="s">
        <v>1031</v>
      </c>
      <c r="J385" s="28" t="s">
        <v>1031</v>
      </c>
      <c r="K385" s="28" t="s">
        <v>1714</v>
      </c>
      <c r="L385" s="28" t="s">
        <v>883</v>
      </c>
      <c r="M385" s="28"/>
      <c r="N385" s="28"/>
      <c r="O385" s="28"/>
      <c r="P385" s="28"/>
    </row>
    <row r="386" customFormat="false" ht="15" hidden="false" customHeight="false" outlineLevel="0" collapsed="false">
      <c r="A386" s="28" t="s">
        <v>1721</v>
      </c>
      <c r="B386" s="28" t="s">
        <v>1466</v>
      </c>
      <c r="C386" s="28" t="s">
        <v>1467</v>
      </c>
      <c r="D386" s="28" t="s">
        <v>1712</v>
      </c>
      <c r="E386" s="28" t="s">
        <v>1246</v>
      </c>
      <c r="F386" s="32" t="n">
        <v>2654.68</v>
      </c>
      <c r="G386" s="28" t="s">
        <v>108</v>
      </c>
      <c r="H386" s="28" t="s">
        <v>1255</v>
      </c>
      <c r="I386" s="28" t="s">
        <v>881</v>
      </c>
      <c r="J386" s="28" t="s">
        <v>881</v>
      </c>
      <c r="K386" s="28" t="s">
        <v>1256</v>
      </c>
      <c r="L386" s="28" t="s">
        <v>899</v>
      </c>
      <c r="M386" s="28" t="s">
        <v>1253</v>
      </c>
      <c r="N386" s="28"/>
      <c r="O386" s="28"/>
      <c r="P386" s="28"/>
    </row>
    <row r="387" customFormat="false" ht="15" hidden="false" customHeight="false" outlineLevel="0" collapsed="false">
      <c r="A387" s="28" t="s">
        <v>1722</v>
      </c>
      <c r="B387" s="28" t="s">
        <v>1466</v>
      </c>
      <c r="C387" s="28" t="s">
        <v>1467</v>
      </c>
      <c r="D387" s="28" t="s">
        <v>1712</v>
      </c>
      <c r="E387" s="28" t="s">
        <v>1246</v>
      </c>
      <c r="F387" s="32" t="n">
        <v>55.09</v>
      </c>
      <c r="G387" s="28" t="s">
        <v>108</v>
      </c>
      <c r="H387" s="28" t="s">
        <v>1723</v>
      </c>
      <c r="I387" s="28" t="s">
        <v>1499</v>
      </c>
      <c r="J387" s="28" t="s">
        <v>1499</v>
      </c>
      <c r="K387" s="28" t="s">
        <v>1714</v>
      </c>
      <c r="L387" s="28" t="s">
        <v>1006</v>
      </c>
      <c r="M387" s="28"/>
      <c r="N387" s="28"/>
      <c r="O387" s="28"/>
      <c r="P387" s="28"/>
    </row>
    <row r="388" customFormat="false" ht="15" hidden="false" customHeight="false" outlineLevel="0" collapsed="false">
      <c r="A388" s="28" t="s">
        <v>1724</v>
      </c>
      <c r="B388" s="28" t="s">
        <v>1470</v>
      </c>
      <c r="C388" s="28" t="s">
        <v>1471</v>
      </c>
      <c r="D388" s="28" t="s">
        <v>1712</v>
      </c>
      <c r="E388" s="28" t="s">
        <v>1246</v>
      </c>
      <c r="F388" s="32" t="n">
        <v>51.59</v>
      </c>
      <c r="G388" s="28" t="s">
        <v>108</v>
      </c>
      <c r="H388" s="28" t="s">
        <v>1560</v>
      </c>
      <c r="I388" s="28" t="s">
        <v>1074</v>
      </c>
      <c r="J388" s="28" t="s">
        <v>1074</v>
      </c>
      <c r="K388" s="28" t="s">
        <v>1714</v>
      </c>
      <c r="L388" s="28" t="s">
        <v>1006</v>
      </c>
      <c r="M388" s="28"/>
      <c r="N388" s="28"/>
      <c r="O388" s="28"/>
      <c r="P388" s="28"/>
    </row>
    <row r="389" customFormat="false" ht="15" hidden="false" customHeight="false" outlineLevel="0" collapsed="false">
      <c r="A389" s="28" t="s">
        <v>1725</v>
      </c>
      <c r="B389" s="28" t="s">
        <v>1466</v>
      </c>
      <c r="C389" s="28" t="s">
        <v>1467</v>
      </c>
      <c r="D389" s="28" t="s">
        <v>1712</v>
      </c>
      <c r="E389" s="28" t="s">
        <v>1246</v>
      </c>
      <c r="F389" s="32" t="n">
        <v>419.2</v>
      </c>
      <c r="G389" s="28" t="s">
        <v>108</v>
      </c>
      <c r="H389" s="28" t="s">
        <v>1726</v>
      </c>
      <c r="I389" s="28" t="s">
        <v>1499</v>
      </c>
      <c r="J389" s="28" t="s">
        <v>1499</v>
      </c>
      <c r="K389" s="28" t="s">
        <v>1714</v>
      </c>
      <c r="L389" s="28" t="s">
        <v>1006</v>
      </c>
      <c r="M389" s="28"/>
      <c r="N389" s="28"/>
      <c r="O389" s="28"/>
      <c r="P389" s="28"/>
    </row>
    <row r="390" customFormat="false" ht="15" hidden="false" customHeight="false" outlineLevel="0" collapsed="false">
      <c r="A390" s="28" t="s">
        <v>1727</v>
      </c>
      <c r="B390" s="28" t="s">
        <v>1466</v>
      </c>
      <c r="C390" s="28" t="s">
        <v>1467</v>
      </c>
      <c r="D390" s="28" t="s">
        <v>1712</v>
      </c>
      <c r="E390" s="28" t="s">
        <v>1246</v>
      </c>
      <c r="F390" s="32" t="n">
        <v>23.27</v>
      </c>
      <c r="G390" s="28" t="s">
        <v>108</v>
      </c>
      <c r="H390" s="28" t="s">
        <v>1728</v>
      </c>
      <c r="I390" s="28" t="s">
        <v>1260</v>
      </c>
      <c r="J390" s="28" t="s">
        <v>1260</v>
      </c>
      <c r="K390" s="28" t="s">
        <v>1714</v>
      </c>
      <c r="L390" s="28" t="s">
        <v>1014</v>
      </c>
      <c r="M390" s="28"/>
      <c r="N390" s="28"/>
      <c r="O390" s="28"/>
      <c r="P390" s="28"/>
    </row>
    <row r="391" customFormat="false" ht="15" hidden="false" customHeight="false" outlineLevel="0" collapsed="false">
      <c r="A391" s="28" t="s">
        <v>1729</v>
      </c>
      <c r="B391" s="28" t="s">
        <v>1470</v>
      </c>
      <c r="C391" s="28" t="s">
        <v>1471</v>
      </c>
      <c r="D391" s="28" t="s">
        <v>1712</v>
      </c>
      <c r="E391" s="28" t="s">
        <v>1246</v>
      </c>
      <c r="F391" s="32" t="n">
        <v>840.56</v>
      </c>
      <c r="G391" s="28" t="s">
        <v>108</v>
      </c>
      <c r="H391" s="28" t="s">
        <v>1730</v>
      </c>
      <c r="I391" s="28" t="s">
        <v>1045</v>
      </c>
      <c r="J391" s="28" t="s">
        <v>1045</v>
      </c>
      <c r="K391" s="28" t="s">
        <v>1731</v>
      </c>
      <c r="L391" s="28" t="s">
        <v>899</v>
      </c>
      <c r="M391" s="28" t="s">
        <v>1732</v>
      </c>
      <c r="N391" s="28"/>
      <c r="O391" s="28"/>
      <c r="P391" s="28"/>
    </row>
    <row r="392" customFormat="false" ht="15" hidden="false" customHeight="false" outlineLevel="0" collapsed="false">
      <c r="A392" s="28" t="s">
        <v>1733</v>
      </c>
      <c r="B392" s="28" t="s">
        <v>1470</v>
      </c>
      <c r="C392" s="28" t="s">
        <v>1471</v>
      </c>
      <c r="D392" s="28" t="s">
        <v>1712</v>
      </c>
      <c r="E392" s="28" t="s">
        <v>1246</v>
      </c>
      <c r="F392" s="32" t="n">
        <v>660</v>
      </c>
      <c r="G392" s="28" t="s">
        <v>108</v>
      </c>
      <c r="H392" s="28" t="s">
        <v>1734</v>
      </c>
      <c r="I392" s="28" t="s">
        <v>1514</v>
      </c>
      <c r="J392" s="28" t="s">
        <v>1514</v>
      </c>
      <c r="K392" s="28" t="s">
        <v>1714</v>
      </c>
      <c r="L392" s="28" t="s">
        <v>1006</v>
      </c>
      <c r="M392" s="28"/>
      <c r="N392" s="28"/>
      <c r="O392" s="28"/>
      <c r="P392" s="28"/>
    </row>
    <row r="393" customFormat="false" ht="15" hidden="false" customHeight="false" outlineLevel="0" collapsed="false">
      <c r="A393" s="28" t="s">
        <v>1735</v>
      </c>
      <c r="B393" s="28" t="s">
        <v>1470</v>
      </c>
      <c r="C393" s="28" t="s">
        <v>1471</v>
      </c>
      <c r="D393" s="28" t="s">
        <v>1712</v>
      </c>
      <c r="E393" s="28" t="s">
        <v>1246</v>
      </c>
      <c r="F393" s="32" t="n">
        <v>36.49</v>
      </c>
      <c r="G393" s="28" t="s">
        <v>108</v>
      </c>
      <c r="H393" s="28" t="s">
        <v>1736</v>
      </c>
      <c r="I393" s="28" t="s">
        <v>1126</v>
      </c>
      <c r="J393" s="28" t="s">
        <v>1126</v>
      </c>
      <c r="K393" s="28" t="s">
        <v>1714</v>
      </c>
      <c r="L393" s="28" t="s">
        <v>1006</v>
      </c>
      <c r="M393" s="28"/>
      <c r="N393" s="28"/>
      <c r="O393" s="28"/>
      <c r="P393" s="28"/>
    </row>
    <row r="394" customFormat="false" ht="15" hidden="false" customHeight="false" outlineLevel="0" collapsed="false">
      <c r="A394" s="28" t="s">
        <v>1737</v>
      </c>
      <c r="B394" s="28" t="s">
        <v>1470</v>
      </c>
      <c r="C394" s="28" t="s">
        <v>1471</v>
      </c>
      <c r="D394" s="28" t="s">
        <v>1712</v>
      </c>
      <c r="E394" s="28" t="s">
        <v>1246</v>
      </c>
      <c r="F394" s="32" t="n">
        <v>847.07</v>
      </c>
      <c r="G394" s="28" t="s">
        <v>108</v>
      </c>
      <c r="H394" s="28" t="s">
        <v>1738</v>
      </c>
      <c r="I394" s="28" t="s">
        <v>1066</v>
      </c>
      <c r="J394" s="28" t="s">
        <v>1066</v>
      </c>
      <c r="K394" s="28" t="s">
        <v>1739</v>
      </c>
      <c r="L394" s="28" t="s">
        <v>899</v>
      </c>
      <c r="M394" s="28" t="s">
        <v>1732</v>
      </c>
      <c r="N394" s="28"/>
      <c r="O394" s="28"/>
      <c r="P394" s="28"/>
    </row>
    <row r="395" customFormat="false" ht="15" hidden="false" customHeight="false" outlineLevel="0" collapsed="false">
      <c r="A395" s="28" t="s">
        <v>1740</v>
      </c>
      <c r="B395" s="28" t="s">
        <v>1466</v>
      </c>
      <c r="C395" s="28" t="s">
        <v>1467</v>
      </c>
      <c r="D395" s="28" t="s">
        <v>1712</v>
      </c>
      <c r="E395" s="28" t="s">
        <v>1246</v>
      </c>
      <c r="F395" s="32" t="n">
        <v>2812.01</v>
      </c>
      <c r="G395" s="28" t="s">
        <v>108</v>
      </c>
      <c r="H395" s="28" t="s">
        <v>1741</v>
      </c>
      <c r="I395" s="28" t="s">
        <v>881</v>
      </c>
      <c r="J395" s="28" t="s">
        <v>881</v>
      </c>
      <c r="K395" s="28" t="s">
        <v>1256</v>
      </c>
      <c r="L395" s="28" t="s">
        <v>899</v>
      </c>
      <c r="M395" s="28" t="s">
        <v>1253</v>
      </c>
      <c r="N395" s="28"/>
      <c r="O395" s="28"/>
      <c r="P395" s="28"/>
    </row>
    <row r="396" customFormat="false" ht="15" hidden="false" customHeight="false" outlineLevel="0" collapsed="false">
      <c r="A396" s="28" t="s">
        <v>1742</v>
      </c>
      <c r="B396" s="28" t="s">
        <v>1466</v>
      </c>
      <c r="C396" s="28" t="s">
        <v>1467</v>
      </c>
      <c r="D396" s="28" t="s">
        <v>1712</v>
      </c>
      <c r="E396" s="28" t="s">
        <v>1246</v>
      </c>
      <c r="F396" s="32" t="n">
        <v>43.44</v>
      </c>
      <c r="G396" s="28" t="s">
        <v>108</v>
      </c>
      <c r="H396" s="28" t="s">
        <v>1743</v>
      </c>
      <c r="I396" s="28" t="s">
        <v>1437</v>
      </c>
      <c r="J396" s="28" t="s">
        <v>1437</v>
      </c>
      <c r="K396" s="28" t="s">
        <v>1714</v>
      </c>
      <c r="L396" s="28" t="s">
        <v>1006</v>
      </c>
      <c r="M396" s="28"/>
      <c r="N396" s="28"/>
      <c r="O396" s="28"/>
      <c r="P396" s="28"/>
    </row>
    <row r="397" customFormat="false" ht="15" hidden="false" customHeight="false" outlineLevel="0" collapsed="false">
      <c r="A397" s="28" t="s">
        <v>1744</v>
      </c>
      <c r="B397" s="28" t="s">
        <v>1466</v>
      </c>
      <c r="C397" s="28" t="s">
        <v>1467</v>
      </c>
      <c r="D397" s="28" t="s">
        <v>1712</v>
      </c>
      <c r="E397" s="28" t="s">
        <v>1246</v>
      </c>
      <c r="F397" s="32" t="n">
        <v>95</v>
      </c>
      <c r="G397" s="28" t="s">
        <v>108</v>
      </c>
      <c r="H397" s="28" t="s">
        <v>1745</v>
      </c>
      <c r="I397" s="28" t="s">
        <v>1023</v>
      </c>
      <c r="J397" s="28" t="s">
        <v>1023</v>
      </c>
      <c r="K397" s="28" t="s">
        <v>1714</v>
      </c>
      <c r="L397" s="28" t="s">
        <v>1006</v>
      </c>
      <c r="M397" s="28"/>
      <c r="N397" s="28"/>
      <c r="O397" s="28"/>
      <c r="P397" s="28"/>
    </row>
    <row r="398" customFormat="false" ht="15" hidden="false" customHeight="false" outlineLevel="0" collapsed="false">
      <c r="A398" s="28" t="s">
        <v>1746</v>
      </c>
      <c r="B398" s="28" t="s">
        <v>1476</v>
      </c>
      <c r="C398" s="28" t="s">
        <v>1477</v>
      </c>
      <c r="D398" s="28" t="s">
        <v>1712</v>
      </c>
      <c r="E398" s="28" t="s">
        <v>1246</v>
      </c>
      <c r="F398" s="32" t="n">
        <v>41.16</v>
      </c>
      <c r="G398" s="28" t="s">
        <v>108</v>
      </c>
      <c r="H398" s="28" t="s">
        <v>1747</v>
      </c>
      <c r="I398" s="28" t="s">
        <v>1278</v>
      </c>
      <c r="J398" s="28" t="s">
        <v>1278</v>
      </c>
      <c r="K398" s="28" t="s">
        <v>1714</v>
      </c>
      <c r="L398" s="28" t="s">
        <v>883</v>
      </c>
      <c r="M398" s="28"/>
      <c r="N398" s="28"/>
      <c r="O398" s="28"/>
      <c r="P398" s="28"/>
    </row>
    <row r="399" customFormat="false" ht="15" hidden="false" customHeight="false" outlineLevel="0" collapsed="false">
      <c r="A399" s="28" t="s">
        <v>1748</v>
      </c>
      <c r="B399" s="28" t="s">
        <v>1466</v>
      </c>
      <c r="C399" s="28" t="s">
        <v>1467</v>
      </c>
      <c r="D399" s="28" t="s">
        <v>1712</v>
      </c>
      <c r="E399" s="28" t="s">
        <v>1246</v>
      </c>
      <c r="F399" s="32" t="n">
        <v>35</v>
      </c>
      <c r="G399" s="28" t="s">
        <v>108</v>
      </c>
      <c r="H399" s="28" t="s">
        <v>1749</v>
      </c>
      <c r="I399" s="28" t="s">
        <v>1282</v>
      </c>
      <c r="J399" s="28" t="s">
        <v>1282</v>
      </c>
      <c r="K399" s="28" t="s">
        <v>1714</v>
      </c>
      <c r="L399" s="28" t="s">
        <v>1006</v>
      </c>
      <c r="M399" s="28"/>
      <c r="N399" s="28"/>
      <c r="O399" s="28"/>
      <c r="P399" s="28"/>
    </row>
    <row r="400" customFormat="false" ht="15" hidden="false" customHeight="false" outlineLevel="0" collapsed="false">
      <c r="A400" s="28" t="s">
        <v>1750</v>
      </c>
      <c r="B400" s="28" t="s">
        <v>1466</v>
      </c>
      <c r="C400" s="28" t="s">
        <v>1467</v>
      </c>
      <c r="D400" s="28" t="s">
        <v>1712</v>
      </c>
      <c r="E400" s="28" t="s">
        <v>1246</v>
      </c>
      <c r="F400" s="32" t="n">
        <v>1375.94</v>
      </c>
      <c r="G400" s="28" t="s">
        <v>108</v>
      </c>
      <c r="H400" s="28" t="s">
        <v>1751</v>
      </c>
      <c r="I400" s="28" t="s">
        <v>889</v>
      </c>
      <c r="J400" s="28" t="s">
        <v>889</v>
      </c>
      <c r="K400" s="28" t="s">
        <v>1752</v>
      </c>
      <c r="L400" s="28" t="s">
        <v>899</v>
      </c>
      <c r="M400" s="28" t="s">
        <v>1253</v>
      </c>
      <c r="N400" s="28"/>
      <c r="O400" s="28"/>
      <c r="P400" s="28"/>
    </row>
    <row r="401" customFormat="false" ht="15" hidden="false" customHeight="false" outlineLevel="0" collapsed="false">
      <c r="A401" s="28" t="s">
        <v>1753</v>
      </c>
      <c r="B401" s="28" t="s">
        <v>1466</v>
      </c>
      <c r="C401" s="28" t="s">
        <v>1467</v>
      </c>
      <c r="D401" s="28" t="s">
        <v>1712</v>
      </c>
      <c r="E401" s="28" t="s">
        <v>1246</v>
      </c>
      <c r="F401" s="32" t="n">
        <v>199.17</v>
      </c>
      <c r="G401" s="28" t="s">
        <v>108</v>
      </c>
      <c r="H401" s="28" t="s">
        <v>1535</v>
      </c>
      <c r="I401" s="28" t="s">
        <v>1536</v>
      </c>
      <c r="J401" s="28" t="s">
        <v>1536</v>
      </c>
      <c r="K401" s="28" t="s">
        <v>1714</v>
      </c>
      <c r="L401" s="28" t="s">
        <v>1006</v>
      </c>
      <c r="M401" s="28"/>
      <c r="N401" s="28"/>
      <c r="O401" s="28"/>
      <c r="P401" s="28"/>
    </row>
    <row r="402" customFormat="false" ht="15" hidden="false" customHeight="false" outlineLevel="0" collapsed="false">
      <c r="A402" s="28" t="s">
        <v>1754</v>
      </c>
      <c r="B402" s="28" t="s">
        <v>1470</v>
      </c>
      <c r="C402" s="28" t="s">
        <v>1471</v>
      </c>
      <c r="D402" s="28" t="s">
        <v>1755</v>
      </c>
      <c r="E402" s="28" t="s">
        <v>1756</v>
      </c>
      <c r="F402" s="32" t="n">
        <v>2075</v>
      </c>
      <c r="G402" s="28" t="s">
        <v>108</v>
      </c>
      <c r="H402" s="28" t="s">
        <v>1757</v>
      </c>
      <c r="I402" s="28" t="s">
        <v>1087</v>
      </c>
      <c r="J402" s="28" t="s">
        <v>1087</v>
      </c>
      <c r="K402" s="28" t="s">
        <v>1758</v>
      </c>
      <c r="L402" s="28" t="s">
        <v>1759</v>
      </c>
      <c r="M402" s="28" t="s">
        <v>1069</v>
      </c>
      <c r="N402" s="28"/>
      <c r="O402" s="28"/>
      <c r="P402" s="28"/>
    </row>
    <row r="403" customFormat="false" ht="15" hidden="false" customHeight="false" outlineLevel="0" collapsed="false">
      <c r="A403" s="28" t="s">
        <v>1760</v>
      </c>
      <c r="B403" s="28" t="s">
        <v>1466</v>
      </c>
      <c r="C403" s="28" t="s">
        <v>1467</v>
      </c>
      <c r="D403" s="28" t="s">
        <v>1761</v>
      </c>
      <c r="E403" s="28" t="s">
        <v>1276</v>
      </c>
      <c r="F403" s="32" t="n">
        <v>725</v>
      </c>
      <c r="G403" s="28" t="s">
        <v>108</v>
      </c>
      <c r="H403" s="28" t="s">
        <v>1762</v>
      </c>
      <c r="I403" s="28" t="s">
        <v>1061</v>
      </c>
      <c r="J403" s="28" t="s">
        <v>1061</v>
      </c>
      <c r="K403" s="28" t="s">
        <v>1763</v>
      </c>
      <c r="L403" s="28" t="s">
        <v>899</v>
      </c>
      <c r="M403" s="28" t="s">
        <v>1558</v>
      </c>
      <c r="N403" s="28"/>
      <c r="O403" s="28"/>
      <c r="P403" s="28"/>
    </row>
    <row r="404" customFormat="false" ht="15" hidden="false" customHeight="false" outlineLevel="0" collapsed="false">
      <c r="A404" s="28" t="s">
        <v>1764</v>
      </c>
      <c r="B404" s="28" t="s">
        <v>1476</v>
      </c>
      <c r="C404" s="28" t="s">
        <v>1477</v>
      </c>
      <c r="D404" s="28" t="s">
        <v>1761</v>
      </c>
      <c r="E404" s="28" t="s">
        <v>1276</v>
      </c>
      <c r="F404" s="32" t="n">
        <v>176</v>
      </c>
      <c r="G404" s="28" t="s">
        <v>108</v>
      </c>
      <c r="H404" s="28" t="s">
        <v>1765</v>
      </c>
      <c r="I404" s="28" t="s">
        <v>1045</v>
      </c>
      <c r="J404" s="28" t="s">
        <v>1045</v>
      </c>
      <c r="K404" s="28" t="s">
        <v>1766</v>
      </c>
      <c r="L404" s="28" t="s">
        <v>883</v>
      </c>
      <c r="M404" s="28"/>
      <c r="N404" s="28"/>
      <c r="O404" s="28"/>
      <c r="P404" s="28"/>
    </row>
    <row r="405" customFormat="false" ht="15" hidden="false" customHeight="false" outlineLevel="0" collapsed="false">
      <c r="A405" s="28" t="s">
        <v>1767</v>
      </c>
      <c r="B405" s="28" t="s">
        <v>1466</v>
      </c>
      <c r="C405" s="28" t="s">
        <v>1467</v>
      </c>
      <c r="D405" s="28" t="s">
        <v>1761</v>
      </c>
      <c r="E405" s="28" t="s">
        <v>1276</v>
      </c>
      <c r="F405" s="32" t="n">
        <v>235.01</v>
      </c>
      <c r="G405" s="28" t="s">
        <v>108</v>
      </c>
      <c r="H405" s="28" t="s">
        <v>1516</v>
      </c>
      <c r="I405" s="28" t="s">
        <v>982</v>
      </c>
      <c r="J405" s="28" t="s">
        <v>982</v>
      </c>
      <c r="K405" s="28" t="s">
        <v>1766</v>
      </c>
      <c r="L405" s="28" t="s">
        <v>1014</v>
      </c>
      <c r="M405" s="28"/>
      <c r="N405" s="28"/>
      <c r="O405" s="28"/>
      <c r="P405" s="28"/>
    </row>
    <row r="406" customFormat="false" ht="15" hidden="false" customHeight="false" outlineLevel="0" collapsed="false">
      <c r="A406" s="28" t="s">
        <v>1768</v>
      </c>
      <c r="B406" s="28" t="s">
        <v>1466</v>
      </c>
      <c r="C406" s="28" t="s">
        <v>1467</v>
      </c>
      <c r="D406" s="28" t="s">
        <v>1761</v>
      </c>
      <c r="E406" s="28" t="s">
        <v>1276</v>
      </c>
      <c r="F406" s="32" t="n">
        <v>2506.34</v>
      </c>
      <c r="G406" s="28" t="s">
        <v>108</v>
      </c>
      <c r="H406" s="28" t="s">
        <v>1535</v>
      </c>
      <c r="I406" s="28" t="s">
        <v>1536</v>
      </c>
      <c r="J406" s="28" t="s">
        <v>1536</v>
      </c>
      <c r="K406" s="28" t="s">
        <v>1766</v>
      </c>
      <c r="L406" s="28" t="s">
        <v>1006</v>
      </c>
      <c r="M406" s="28"/>
      <c r="N406" s="28"/>
      <c r="O406" s="28"/>
      <c r="P406" s="28"/>
    </row>
    <row r="407" customFormat="false" ht="15" hidden="false" customHeight="false" outlineLevel="0" collapsed="false">
      <c r="A407" s="28" t="s">
        <v>1769</v>
      </c>
      <c r="B407" s="28" t="s">
        <v>1470</v>
      </c>
      <c r="C407" s="28" t="s">
        <v>1471</v>
      </c>
      <c r="D407" s="28" t="s">
        <v>1761</v>
      </c>
      <c r="E407" s="28" t="s">
        <v>1276</v>
      </c>
      <c r="F407" s="32" t="n">
        <v>1081.79</v>
      </c>
      <c r="G407" s="28" t="s">
        <v>108</v>
      </c>
      <c r="H407" s="28" t="s">
        <v>1770</v>
      </c>
      <c r="I407" s="28" t="s">
        <v>881</v>
      </c>
      <c r="J407" s="28" t="s">
        <v>881</v>
      </c>
      <c r="K407" s="28" t="s">
        <v>1771</v>
      </c>
      <c r="L407" s="28" t="s">
        <v>1006</v>
      </c>
      <c r="M407" s="28"/>
      <c r="N407" s="28"/>
      <c r="O407" s="28"/>
      <c r="P407" s="28"/>
    </row>
    <row r="408" customFormat="false" ht="15" hidden="false" customHeight="false" outlineLevel="0" collapsed="false">
      <c r="A408" s="28" t="s">
        <v>1772</v>
      </c>
      <c r="B408" s="28" t="s">
        <v>1470</v>
      </c>
      <c r="C408" s="28" t="s">
        <v>1471</v>
      </c>
      <c r="D408" s="28" t="s">
        <v>1761</v>
      </c>
      <c r="E408" s="28" t="s">
        <v>1276</v>
      </c>
      <c r="F408" s="32" t="n">
        <v>2640.01</v>
      </c>
      <c r="G408" s="28" t="s">
        <v>108</v>
      </c>
      <c r="H408" s="28" t="s">
        <v>1773</v>
      </c>
      <c r="I408" s="28" t="s">
        <v>1004</v>
      </c>
      <c r="J408" s="28" t="s">
        <v>1004</v>
      </c>
      <c r="K408" s="28" t="s">
        <v>1766</v>
      </c>
      <c r="L408" s="28" t="s">
        <v>883</v>
      </c>
      <c r="M408" s="28"/>
      <c r="N408" s="28"/>
      <c r="O408" s="28"/>
      <c r="P408" s="28"/>
    </row>
    <row r="409" customFormat="false" ht="15" hidden="false" customHeight="false" outlineLevel="0" collapsed="false">
      <c r="A409" s="28" t="s">
        <v>1774</v>
      </c>
      <c r="B409" s="28" t="s">
        <v>1466</v>
      </c>
      <c r="C409" s="28" t="s">
        <v>1467</v>
      </c>
      <c r="D409" s="28" t="s">
        <v>1761</v>
      </c>
      <c r="E409" s="28" t="s">
        <v>1276</v>
      </c>
      <c r="F409" s="32" t="n">
        <v>1065.16</v>
      </c>
      <c r="G409" s="28" t="s">
        <v>108</v>
      </c>
      <c r="H409" s="28" t="s">
        <v>1498</v>
      </c>
      <c r="I409" s="28" t="s">
        <v>1499</v>
      </c>
      <c r="J409" s="28" t="s">
        <v>1499</v>
      </c>
      <c r="K409" s="28" t="s">
        <v>1771</v>
      </c>
      <c r="L409" s="28" t="s">
        <v>1006</v>
      </c>
      <c r="M409" s="28"/>
      <c r="N409" s="28"/>
      <c r="O409" s="28"/>
      <c r="P409" s="28"/>
    </row>
    <row r="410" customFormat="false" ht="15" hidden="false" customHeight="false" outlineLevel="0" collapsed="false">
      <c r="A410" s="28" t="s">
        <v>1775</v>
      </c>
      <c r="B410" s="28" t="s">
        <v>1466</v>
      </c>
      <c r="C410" s="28" t="s">
        <v>1467</v>
      </c>
      <c r="D410" s="28" t="s">
        <v>1761</v>
      </c>
      <c r="E410" s="28" t="s">
        <v>1276</v>
      </c>
      <c r="F410" s="32" t="n">
        <v>1225.65</v>
      </c>
      <c r="G410" s="28" t="s">
        <v>108</v>
      </c>
      <c r="H410" s="28" t="s">
        <v>1510</v>
      </c>
      <c r="I410" s="28" t="s">
        <v>1511</v>
      </c>
      <c r="J410" s="28" t="s">
        <v>1511</v>
      </c>
      <c r="K410" s="28" t="s">
        <v>1766</v>
      </c>
      <c r="L410" s="28" t="s">
        <v>1006</v>
      </c>
      <c r="M410" s="28"/>
      <c r="N410" s="28"/>
      <c r="O410" s="28"/>
      <c r="P410" s="28"/>
    </row>
    <row r="411" customFormat="false" ht="15" hidden="false" customHeight="false" outlineLevel="0" collapsed="false">
      <c r="A411" s="28" t="s">
        <v>1776</v>
      </c>
      <c r="B411" s="28" t="s">
        <v>1466</v>
      </c>
      <c r="C411" s="28" t="s">
        <v>1467</v>
      </c>
      <c r="D411" s="28" t="s">
        <v>1761</v>
      </c>
      <c r="E411" s="28" t="s">
        <v>1276</v>
      </c>
      <c r="F411" s="32" t="n">
        <v>2139.96</v>
      </c>
      <c r="G411" s="28" t="s">
        <v>108</v>
      </c>
      <c r="H411" s="28" t="s">
        <v>1501</v>
      </c>
      <c r="I411" s="28" t="s">
        <v>1087</v>
      </c>
      <c r="J411" s="28" t="s">
        <v>1087</v>
      </c>
      <c r="K411" s="28" t="s">
        <v>1766</v>
      </c>
      <c r="L411" s="28" t="s">
        <v>1006</v>
      </c>
      <c r="M411" s="28"/>
      <c r="N411" s="28"/>
      <c r="O411" s="28"/>
      <c r="P411" s="28"/>
    </row>
    <row r="412" customFormat="false" ht="15" hidden="false" customHeight="false" outlineLevel="0" collapsed="false">
      <c r="A412" s="28" t="s">
        <v>1777</v>
      </c>
      <c r="B412" s="28" t="s">
        <v>1470</v>
      </c>
      <c r="C412" s="28" t="s">
        <v>1471</v>
      </c>
      <c r="D412" s="28" t="s">
        <v>1761</v>
      </c>
      <c r="E412" s="28" t="s">
        <v>1276</v>
      </c>
      <c r="F412" s="32" t="n">
        <v>1049.99</v>
      </c>
      <c r="G412" s="28" t="s">
        <v>108</v>
      </c>
      <c r="H412" s="28" t="s">
        <v>1778</v>
      </c>
      <c r="I412" s="28" t="s">
        <v>1504</v>
      </c>
      <c r="J412" s="28" t="s">
        <v>1504</v>
      </c>
      <c r="K412" s="28" t="s">
        <v>1771</v>
      </c>
      <c r="L412" s="28" t="s">
        <v>883</v>
      </c>
      <c r="M412" s="28"/>
      <c r="N412" s="28"/>
      <c r="O412" s="28"/>
      <c r="P412" s="28"/>
    </row>
    <row r="413" customFormat="false" ht="15" hidden="false" customHeight="false" outlineLevel="0" collapsed="false">
      <c r="A413" s="28" t="s">
        <v>1779</v>
      </c>
      <c r="B413" s="28" t="s">
        <v>1470</v>
      </c>
      <c r="C413" s="28" t="s">
        <v>1471</v>
      </c>
      <c r="D413" s="28" t="s">
        <v>1761</v>
      </c>
      <c r="E413" s="28" t="s">
        <v>1276</v>
      </c>
      <c r="F413" s="32" t="n">
        <v>688.76</v>
      </c>
      <c r="G413" s="28" t="s">
        <v>108</v>
      </c>
      <c r="H413" s="28" t="s">
        <v>1532</v>
      </c>
      <c r="I413" s="28" t="s">
        <v>1533</v>
      </c>
      <c r="J413" s="28" t="s">
        <v>1533</v>
      </c>
      <c r="K413" s="28" t="s">
        <v>1766</v>
      </c>
      <c r="L413" s="28" t="s">
        <v>1006</v>
      </c>
      <c r="M413" s="28"/>
      <c r="N413" s="28"/>
      <c r="O413" s="28"/>
      <c r="P413" s="28"/>
    </row>
    <row r="414" customFormat="false" ht="15" hidden="false" customHeight="false" outlineLevel="0" collapsed="false">
      <c r="A414" s="28" t="s">
        <v>1780</v>
      </c>
      <c r="B414" s="28" t="s">
        <v>1466</v>
      </c>
      <c r="C414" s="28" t="s">
        <v>1467</v>
      </c>
      <c r="D414" s="28" t="s">
        <v>1761</v>
      </c>
      <c r="E414" s="28" t="s">
        <v>1276</v>
      </c>
      <c r="F414" s="32" t="n">
        <v>32.87</v>
      </c>
      <c r="G414" s="28" t="s">
        <v>108</v>
      </c>
      <c r="H414" s="28" t="s">
        <v>1510</v>
      </c>
      <c r="I414" s="28" t="s">
        <v>1511</v>
      </c>
      <c r="J414" s="28" t="s">
        <v>1511</v>
      </c>
      <c r="K414" s="28" t="s">
        <v>1771</v>
      </c>
      <c r="L414" s="28" t="s">
        <v>1006</v>
      </c>
      <c r="M414" s="28"/>
      <c r="N414" s="28"/>
      <c r="O414" s="28"/>
      <c r="P414" s="28"/>
    </row>
    <row r="415" customFormat="false" ht="15" hidden="false" customHeight="false" outlineLevel="0" collapsed="false">
      <c r="A415" s="28" t="s">
        <v>1781</v>
      </c>
      <c r="B415" s="28" t="s">
        <v>1466</v>
      </c>
      <c r="C415" s="28" t="s">
        <v>1467</v>
      </c>
      <c r="D415" s="28" t="s">
        <v>1761</v>
      </c>
      <c r="E415" s="28" t="s">
        <v>1276</v>
      </c>
      <c r="F415" s="32" t="n">
        <v>48.43</v>
      </c>
      <c r="G415" s="28" t="s">
        <v>108</v>
      </c>
      <c r="H415" s="28" t="s">
        <v>1508</v>
      </c>
      <c r="I415" s="28" t="s">
        <v>1026</v>
      </c>
      <c r="J415" s="28" t="s">
        <v>1026</v>
      </c>
      <c r="K415" s="28" t="s">
        <v>1771</v>
      </c>
      <c r="L415" s="28" t="s">
        <v>1006</v>
      </c>
      <c r="M415" s="28"/>
      <c r="N415" s="28"/>
      <c r="O415" s="28"/>
      <c r="P415" s="28"/>
    </row>
    <row r="416" customFormat="false" ht="15" hidden="false" customHeight="false" outlineLevel="0" collapsed="false">
      <c r="A416" s="28" t="s">
        <v>1782</v>
      </c>
      <c r="B416" s="28" t="s">
        <v>1466</v>
      </c>
      <c r="C416" s="28" t="s">
        <v>1467</v>
      </c>
      <c r="D416" s="28" t="s">
        <v>1761</v>
      </c>
      <c r="E416" s="28" t="s">
        <v>1276</v>
      </c>
      <c r="F416" s="32" t="n">
        <v>1621.35</v>
      </c>
      <c r="G416" s="28" t="s">
        <v>108</v>
      </c>
      <c r="H416" s="28" t="s">
        <v>1498</v>
      </c>
      <c r="I416" s="28" t="s">
        <v>1499</v>
      </c>
      <c r="J416" s="28" t="s">
        <v>1499</v>
      </c>
      <c r="K416" s="28" t="s">
        <v>1766</v>
      </c>
      <c r="L416" s="28" t="s">
        <v>1006</v>
      </c>
      <c r="M416" s="28"/>
      <c r="N416" s="28"/>
      <c r="O416" s="28"/>
      <c r="P416" s="28"/>
    </row>
    <row r="417" customFormat="false" ht="15" hidden="false" customHeight="false" outlineLevel="0" collapsed="false">
      <c r="A417" s="28" t="s">
        <v>1783</v>
      </c>
      <c r="B417" s="28" t="s">
        <v>1466</v>
      </c>
      <c r="C417" s="28" t="s">
        <v>1467</v>
      </c>
      <c r="D417" s="28" t="s">
        <v>1761</v>
      </c>
      <c r="E417" s="28" t="s">
        <v>1276</v>
      </c>
      <c r="F417" s="32" t="n">
        <v>2464.02</v>
      </c>
      <c r="G417" s="28" t="s">
        <v>108</v>
      </c>
      <c r="H417" s="28" t="s">
        <v>1508</v>
      </c>
      <c r="I417" s="28" t="s">
        <v>1026</v>
      </c>
      <c r="J417" s="28" t="s">
        <v>1026</v>
      </c>
      <c r="K417" s="28" t="s">
        <v>1766</v>
      </c>
      <c r="L417" s="28" t="s">
        <v>1006</v>
      </c>
      <c r="M417" s="28"/>
      <c r="N417" s="28"/>
      <c r="O417" s="28"/>
      <c r="P417" s="28"/>
    </row>
    <row r="418" customFormat="false" ht="15" hidden="false" customHeight="false" outlineLevel="0" collapsed="false">
      <c r="A418" s="28" t="s">
        <v>1784</v>
      </c>
      <c r="B418" s="28" t="s">
        <v>1466</v>
      </c>
      <c r="C418" s="28" t="s">
        <v>1467</v>
      </c>
      <c r="D418" s="28" t="s">
        <v>1761</v>
      </c>
      <c r="E418" s="28" t="s">
        <v>1276</v>
      </c>
      <c r="F418" s="32" t="n">
        <v>803.69</v>
      </c>
      <c r="G418" s="28" t="s">
        <v>108</v>
      </c>
      <c r="H418" s="28" t="s">
        <v>1518</v>
      </c>
      <c r="I418" s="28" t="s">
        <v>1031</v>
      </c>
      <c r="J418" s="28" t="s">
        <v>1031</v>
      </c>
      <c r="K418" s="28" t="s">
        <v>1766</v>
      </c>
      <c r="L418" s="28" t="s">
        <v>1006</v>
      </c>
      <c r="M418" s="28"/>
      <c r="N418" s="28"/>
      <c r="O418" s="28"/>
      <c r="P418" s="28"/>
    </row>
    <row r="419" customFormat="false" ht="15" hidden="false" customHeight="false" outlineLevel="0" collapsed="false">
      <c r="A419" s="28" t="s">
        <v>1785</v>
      </c>
      <c r="B419" s="28" t="s">
        <v>1470</v>
      </c>
      <c r="C419" s="28" t="s">
        <v>1471</v>
      </c>
      <c r="D419" s="28" t="s">
        <v>1761</v>
      </c>
      <c r="E419" s="28" t="s">
        <v>1276</v>
      </c>
      <c r="F419" s="32" t="n">
        <v>283.19</v>
      </c>
      <c r="G419" s="28" t="s">
        <v>108</v>
      </c>
      <c r="H419" s="28" t="s">
        <v>1538</v>
      </c>
      <c r="I419" s="28" t="s">
        <v>1539</v>
      </c>
      <c r="J419" s="28" t="s">
        <v>1539</v>
      </c>
      <c r="K419" s="28" t="s">
        <v>1766</v>
      </c>
      <c r="L419" s="28" t="s">
        <v>1006</v>
      </c>
      <c r="M419" s="28"/>
      <c r="N419" s="28"/>
      <c r="O419" s="28"/>
      <c r="P419" s="28"/>
    </row>
    <row r="420" customFormat="false" ht="15" hidden="false" customHeight="false" outlineLevel="0" collapsed="false">
      <c r="A420" s="28" t="s">
        <v>1786</v>
      </c>
      <c r="B420" s="28" t="s">
        <v>1466</v>
      </c>
      <c r="C420" s="28" t="s">
        <v>1467</v>
      </c>
      <c r="D420" s="28" t="s">
        <v>1761</v>
      </c>
      <c r="E420" s="28" t="s">
        <v>1276</v>
      </c>
      <c r="F420" s="32" t="n">
        <v>15.89</v>
      </c>
      <c r="G420" s="28" t="s">
        <v>108</v>
      </c>
      <c r="H420" s="28" t="s">
        <v>1518</v>
      </c>
      <c r="I420" s="28" t="s">
        <v>1031</v>
      </c>
      <c r="J420" s="28" t="s">
        <v>1031</v>
      </c>
      <c r="K420" s="28" t="s">
        <v>1771</v>
      </c>
      <c r="L420" s="28" t="s">
        <v>1006</v>
      </c>
      <c r="M420" s="28"/>
      <c r="N420" s="28"/>
      <c r="O420" s="28"/>
      <c r="P420" s="28"/>
    </row>
    <row r="421" customFormat="false" ht="15" hidden="false" customHeight="false" outlineLevel="0" collapsed="false">
      <c r="A421" s="28" t="s">
        <v>1787</v>
      </c>
      <c r="B421" s="28" t="s">
        <v>1470</v>
      </c>
      <c r="C421" s="28" t="s">
        <v>1471</v>
      </c>
      <c r="D421" s="28" t="s">
        <v>1761</v>
      </c>
      <c r="E421" s="28" t="s">
        <v>1276</v>
      </c>
      <c r="F421" s="32" t="n">
        <v>142.53</v>
      </c>
      <c r="G421" s="28" t="s">
        <v>108</v>
      </c>
      <c r="H421" s="28" t="s">
        <v>1770</v>
      </c>
      <c r="I421" s="28" t="s">
        <v>881</v>
      </c>
      <c r="J421" s="28" t="s">
        <v>881</v>
      </c>
      <c r="K421" s="28" t="s">
        <v>1766</v>
      </c>
      <c r="L421" s="28" t="s">
        <v>1006</v>
      </c>
      <c r="M421" s="28"/>
      <c r="N421" s="28"/>
      <c r="O421" s="28"/>
      <c r="P421" s="28"/>
    </row>
    <row r="422" customFormat="false" ht="15" hidden="false" customHeight="false" outlineLevel="0" collapsed="false">
      <c r="A422" s="28" t="s">
        <v>1788</v>
      </c>
      <c r="B422" s="28" t="s">
        <v>1470</v>
      </c>
      <c r="C422" s="28" t="s">
        <v>1471</v>
      </c>
      <c r="D422" s="28" t="s">
        <v>1761</v>
      </c>
      <c r="E422" s="28" t="s">
        <v>1276</v>
      </c>
      <c r="F422" s="32" t="n">
        <v>447.01</v>
      </c>
      <c r="G422" s="28" t="s">
        <v>108</v>
      </c>
      <c r="H422" s="28" t="s">
        <v>1503</v>
      </c>
      <c r="I422" s="28" t="s">
        <v>1504</v>
      </c>
      <c r="J422" s="28" t="s">
        <v>1504</v>
      </c>
      <c r="K422" s="28" t="s">
        <v>1766</v>
      </c>
      <c r="L422" s="28" t="s">
        <v>1006</v>
      </c>
      <c r="M422" s="28"/>
      <c r="N422" s="28"/>
      <c r="O422" s="28"/>
      <c r="P422" s="28"/>
    </row>
    <row r="423" customFormat="false" ht="15" hidden="false" customHeight="false" outlineLevel="0" collapsed="false">
      <c r="A423" s="28" t="s">
        <v>1789</v>
      </c>
      <c r="B423" s="28" t="s">
        <v>1466</v>
      </c>
      <c r="C423" s="28" t="s">
        <v>1467</v>
      </c>
      <c r="D423" s="28" t="s">
        <v>1761</v>
      </c>
      <c r="E423" s="28" t="s">
        <v>1276</v>
      </c>
      <c r="F423" s="32" t="n">
        <v>1798.25</v>
      </c>
      <c r="G423" s="28" t="s">
        <v>108</v>
      </c>
      <c r="H423" s="28" t="s">
        <v>1790</v>
      </c>
      <c r="I423" s="28" t="s">
        <v>1511</v>
      </c>
      <c r="J423" s="28" t="s">
        <v>1511</v>
      </c>
      <c r="K423" s="28" t="s">
        <v>1766</v>
      </c>
      <c r="L423" s="28" t="s">
        <v>1006</v>
      </c>
      <c r="M423" s="28"/>
      <c r="N423" s="28"/>
      <c r="O423" s="28"/>
      <c r="P423" s="28"/>
    </row>
    <row r="424" customFormat="false" ht="15" hidden="false" customHeight="false" outlineLevel="0" collapsed="false">
      <c r="A424" s="28" t="s">
        <v>1791</v>
      </c>
      <c r="B424" s="28" t="s">
        <v>1470</v>
      </c>
      <c r="C424" s="28" t="s">
        <v>1471</v>
      </c>
      <c r="D424" s="28" t="s">
        <v>1761</v>
      </c>
      <c r="E424" s="28" t="s">
        <v>1276</v>
      </c>
      <c r="F424" s="32" t="n">
        <v>447.01</v>
      </c>
      <c r="G424" s="28" t="s">
        <v>108</v>
      </c>
      <c r="H424" s="28" t="s">
        <v>1792</v>
      </c>
      <c r="I424" s="28" t="s">
        <v>1504</v>
      </c>
      <c r="J424" s="28" t="s">
        <v>1504</v>
      </c>
      <c r="K424" s="28" t="s">
        <v>1766</v>
      </c>
      <c r="L424" s="28" t="s">
        <v>1006</v>
      </c>
      <c r="M424" s="28"/>
      <c r="N424" s="28"/>
      <c r="O424" s="28"/>
      <c r="P424" s="28"/>
    </row>
    <row r="425" customFormat="false" ht="15" hidden="false" customHeight="false" outlineLevel="0" collapsed="false">
      <c r="A425" s="28" t="s">
        <v>1793</v>
      </c>
      <c r="B425" s="28" t="s">
        <v>1466</v>
      </c>
      <c r="C425" s="28" t="s">
        <v>1467</v>
      </c>
      <c r="D425" s="28" t="s">
        <v>1761</v>
      </c>
      <c r="E425" s="28" t="s">
        <v>1276</v>
      </c>
      <c r="F425" s="32" t="n">
        <v>3608.01</v>
      </c>
      <c r="G425" s="28" t="s">
        <v>108</v>
      </c>
      <c r="H425" s="28" t="s">
        <v>1773</v>
      </c>
      <c r="I425" s="28" t="s">
        <v>1004</v>
      </c>
      <c r="J425" s="28" t="s">
        <v>1004</v>
      </c>
      <c r="K425" s="28" t="s">
        <v>1766</v>
      </c>
      <c r="L425" s="28" t="s">
        <v>883</v>
      </c>
      <c r="M425" s="28"/>
      <c r="N425" s="28"/>
      <c r="O425" s="28"/>
      <c r="P425" s="28"/>
    </row>
    <row r="426" customFormat="false" ht="15" hidden="false" customHeight="false" outlineLevel="0" collapsed="false">
      <c r="A426" s="28" t="s">
        <v>1794</v>
      </c>
      <c r="B426" s="28" t="s">
        <v>1466</v>
      </c>
      <c r="C426" s="28" t="s">
        <v>1467</v>
      </c>
      <c r="D426" s="28" t="s">
        <v>1761</v>
      </c>
      <c r="E426" s="28" t="s">
        <v>1276</v>
      </c>
      <c r="F426" s="32" t="n">
        <v>586.82</v>
      </c>
      <c r="G426" s="28" t="s">
        <v>108</v>
      </c>
      <c r="H426" s="28" t="s">
        <v>1494</v>
      </c>
      <c r="I426" s="28" t="s">
        <v>1495</v>
      </c>
      <c r="J426" s="28" t="s">
        <v>1495</v>
      </c>
      <c r="K426" s="28" t="s">
        <v>1766</v>
      </c>
      <c r="L426" s="28" t="s">
        <v>1006</v>
      </c>
      <c r="M426" s="28"/>
      <c r="N426" s="28"/>
      <c r="O426" s="28"/>
      <c r="P426" s="28"/>
    </row>
    <row r="427" customFormat="false" ht="15" hidden="false" customHeight="false" outlineLevel="0" collapsed="false">
      <c r="A427" s="28" t="s">
        <v>1795</v>
      </c>
      <c r="B427" s="28" t="s">
        <v>1476</v>
      </c>
      <c r="C427" s="28" t="s">
        <v>1477</v>
      </c>
      <c r="D427" s="28" t="s">
        <v>1761</v>
      </c>
      <c r="E427" s="28" t="s">
        <v>1276</v>
      </c>
      <c r="F427" s="32" t="n">
        <v>264</v>
      </c>
      <c r="G427" s="28" t="s">
        <v>108</v>
      </c>
      <c r="H427" s="28" t="s">
        <v>1773</v>
      </c>
      <c r="I427" s="28" t="s">
        <v>1004</v>
      </c>
      <c r="J427" s="28" t="s">
        <v>1004</v>
      </c>
      <c r="K427" s="28" t="s">
        <v>1766</v>
      </c>
      <c r="L427" s="28" t="s">
        <v>883</v>
      </c>
      <c r="M427" s="28"/>
      <c r="N427" s="28"/>
      <c r="O427" s="28"/>
      <c r="P427" s="28"/>
    </row>
    <row r="428" customFormat="false" ht="15" hidden="false" customHeight="false" outlineLevel="0" collapsed="false">
      <c r="A428" s="28" t="s">
        <v>1796</v>
      </c>
      <c r="B428" s="28" t="s">
        <v>1470</v>
      </c>
      <c r="C428" s="28" t="s">
        <v>1471</v>
      </c>
      <c r="D428" s="28" t="s">
        <v>1761</v>
      </c>
      <c r="E428" s="28" t="s">
        <v>1276</v>
      </c>
      <c r="F428" s="32" t="n">
        <v>2464.01</v>
      </c>
      <c r="G428" s="28" t="s">
        <v>108</v>
      </c>
      <c r="H428" s="28" t="s">
        <v>1765</v>
      </c>
      <c r="I428" s="28" t="s">
        <v>1045</v>
      </c>
      <c r="J428" s="28" t="s">
        <v>1045</v>
      </c>
      <c r="K428" s="28" t="s">
        <v>1766</v>
      </c>
      <c r="L428" s="28" t="s">
        <v>883</v>
      </c>
      <c r="M428" s="28"/>
      <c r="N428" s="28"/>
      <c r="O428" s="28"/>
      <c r="P428" s="28"/>
    </row>
    <row r="429" customFormat="false" ht="15" hidden="false" customHeight="false" outlineLevel="0" collapsed="false">
      <c r="A429" s="28" t="s">
        <v>1797</v>
      </c>
      <c r="B429" s="28" t="s">
        <v>1466</v>
      </c>
      <c r="C429" s="28" t="s">
        <v>1467</v>
      </c>
      <c r="D429" s="28" t="s">
        <v>1761</v>
      </c>
      <c r="E429" s="28" t="s">
        <v>1276</v>
      </c>
      <c r="F429" s="32" t="n">
        <v>3432.01</v>
      </c>
      <c r="G429" s="28" t="s">
        <v>108</v>
      </c>
      <c r="H429" s="28" t="s">
        <v>1765</v>
      </c>
      <c r="I429" s="28" t="s">
        <v>1045</v>
      </c>
      <c r="J429" s="28" t="s">
        <v>1045</v>
      </c>
      <c r="K429" s="28" t="s">
        <v>1766</v>
      </c>
      <c r="L429" s="28" t="s">
        <v>883</v>
      </c>
      <c r="M429" s="28"/>
      <c r="N429" s="28"/>
      <c r="O429" s="28"/>
      <c r="P429" s="28"/>
    </row>
    <row r="430" customFormat="false" ht="15" hidden="false" customHeight="false" outlineLevel="0" collapsed="false">
      <c r="A430" s="28" t="s">
        <v>1798</v>
      </c>
      <c r="B430" s="28" t="s">
        <v>1466</v>
      </c>
      <c r="C430" s="28" t="s">
        <v>1467</v>
      </c>
      <c r="D430" s="28" t="s">
        <v>1761</v>
      </c>
      <c r="E430" s="28" t="s">
        <v>1276</v>
      </c>
      <c r="F430" s="32" t="n">
        <v>1050</v>
      </c>
      <c r="G430" s="28" t="s">
        <v>108</v>
      </c>
      <c r="H430" s="28" t="s">
        <v>1799</v>
      </c>
      <c r="I430" s="28" t="s">
        <v>1343</v>
      </c>
      <c r="J430" s="28" t="s">
        <v>1343</v>
      </c>
      <c r="K430" s="28" t="s">
        <v>1771</v>
      </c>
      <c r="L430" s="28" t="s">
        <v>1014</v>
      </c>
      <c r="M430" s="28"/>
      <c r="N430" s="28"/>
      <c r="O430" s="28"/>
      <c r="P430" s="28"/>
    </row>
    <row r="431" customFormat="false" ht="15" hidden="false" customHeight="false" outlineLevel="0" collapsed="false">
      <c r="A431" s="28" t="s">
        <v>1800</v>
      </c>
      <c r="B431" s="28" t="s">
        <v>1466</v>
      </c>
      <c r="C431" s="28" t="s">
        <v>1467</v>
      </c>
      <c r="D431" s="28" t="s">
        <v>1761</v>
      </c>
      <c r="E431" s="28" t="s">
        <v>1276</v>
      </c>
      <c r="F431" s="32" t="n">
        <v>1081.78</v>
      </c>
      <c r="G431" s="28" t="s">
        <v>108</v>
      </c>
      <c r="H431" s="28" t="s">
        <v>1535</v>
      </c>
      <c r="I431" s="28" t="s">
        <v>1536</v>
      </c>
      <c r="J431" s="28" t="s">
        <v>1536</v>
      </c>
      <c r="K431" s="28" t="s">
        <v>1771</v>
      </c>
      <c r="L431" s="28" t="s">
        <v>1006</v>
      </c>
      <c r="M431" s="28"/>
      <c r="N431" s="28"/>
      <c r="O431" s="28"/>
      <c r="P431" s="28"/>
    </row>
    <row r="432" customFormat="false" ht="15" hidden="false" customHeight="false" outlineLevel="0" collapsed="false">
      <c r="A432" s="28" t="s">
        <v>1801</v>
      </c>
      <c r="B432" s="28" t="s">
        <v>1466</v>
      </c>
      <c r="C432" s="28" t="s">
        <v>1467</v>
      </c>
      <c r="D432" s="28" t="s">
        <v>1802</v>
      </c>
      <c r="E432" s="28" t="s">
        <v>1315</v>
      </c>
      <c r="F432" s="32" t="n">
        <v>8074</v>
      </c>
      <c r="G432" s="28" t="s">
        <v>108</v>
      </c>
      <c r="H432" s="28" t="s">
        <v>1803</v>
      </c>
      <c r="I432" s="28" t="s">
        <v>1031</v>
      </c>
      <c r="J432" s="28" t="s">
        <v>1031</v>
      </c>
      <c r="K432" s="28" t="s">
        <v>1804</v>
      </c>
      <c r="L432" s="28" t="s">
        <v>899</v>
      </c>
      <c r="M432" s="28" t="s">
        <v>1805</v>
      </c>
      <c r="N432" s="28"/>
      <c r="O432" s="28"/>
      <c r="P432" s="28"/>
    </row>
    <row r="433" customFormat="false" ht="15" hidden="false" customHeight="false" outlineLevel="0" collapsed="false">
      <c r="A433" s="28" t="s">
        <v>1806</v>
      </c>
      <c r="B433" s="28" t="s">
        <v>1466</v>
      </c>
      <c r="C433" s="28" t="s">
        <v>1467</v>
      </c>
      <c r="D433" s="28" t="s">
        <v>1802</v>
      </c>
      <c r="E433" s="28" t="s">
        <v>1315</v>
      </c>
      <c r="F433" s="32" t="n">
        <v>1375</v>
      </c>
      <c r="G433" s="28" t="s">
        <v>108</v>
      </c>
      <c r="H433" s="28" t="s">
        <v>1807</v>
      </c>
      <c r="I433" s="28" t="s">
        <v>1106</v>
      </c>
      <c r="J433" s="28" t="s">
        <v>1052</v>
      </c>
      <c r="K433" s="28" t="s">
        <v>1808</v>
      </c>
      <c r="L433" s="28" t="s">
        <v>899</v>
      </c>
      <c r="M433" s="28" t="s">
        <v>1809</v>
      </c>
      <c r="N433" s="28"/>
      <c r="O433" s="28"/>
      <c r="P433" s="28"/>
    </row>
    <row r="434" customFormat="false" ht="15" hidden="false" customHeight="false" outlineLevel="0" collapsed="false">
      <c r="A434" s="28" t="s">
        <v>1810</v>
      </c>
      <c r="B434" s="28" t="s">
        <v>1466</v>
      </c>
      <c r="C434" s="28" t="s">
        <v>1467</v>
      </c>
      <c r="D434" s="28" t="s">
        <v>1811</v>
      </c>
      <c r="E434" s="28" t="s">
        <v>1812</v>
      </c>
      <c r="F434" s="32" t="n">
        <v>21.5</v>
      </c>
      <c r="G434" s="28" t="s">
        <v>108</v>
      </c>
      <c r="H434" s="28" t="s">
        <v>1813</v>
      </c>
      <c r="I434" s="28" t="s">
        <v>1101</v>
      </c>
      <c r="J434" s="28" t="s">
        <v>1101</v>
      </c>
      <c r="K434" s="28"/>
      <c r="L434" s="28" t="s">
        <v>1814</v>
      </c>
      <c r="M434" s="28"/>
      <c r="N434" s="28" t="s">
        <v>1815</v>
      </c>
      <c r="O434" s="28" t="s">
        <v>1816</v>
      </c>
      <c r="P434" s="28"/>
    </row>
    <row r="435" customFormat="false" ht="15" hidden="false" customHeight="false" outlineLevel="0" collapsed="false">
      <c r="A435" s="28" t="s">
        <v>1817</v>
      </c>
      <c r="B435" s="28" t="s">
        <v>1466</v>
      </c>
      <c r="C435" s="28" t="s">
        <v>1467</v>
      </c>
      <c r="D435" s="28" t="s">
        <v>1811</v>
      </c>
      <c r="E435" s="28" t="s">
        <v>1812</v>
      </c>
      <c r="F435" s="32" t="n">
        <v>21.5</v>
      </c>
      <c r="G435" s="28" t="s">
        <v>108</v>
      </c>
      <c r="H435" s="28" t="s">
        <v>1818</v>
      </c>
      <c r="I435" s="28" t="s">
        <v>1343</v>
      </c>
      <c r="J435" s="28" t="s">
        <v>1343</v>
      </c>
      <c r="K435" s="28"/>
      <c r="L435" s="28" t="s">
        <v>1814</v>
      </c>
      <c r="M435" s="28"/>
      <c r="N435" s="28" t="s">
        <v>1815</v>
      </c>
      <c r="O435" s="28" t="s">
        <v>1816</v>
      </c>
      <c r="P435" s="28"/>
    </row>
    <row r="436" customFormat="false" ht="15" hidden="false" customHeight="false" outlineLevel="0" collapsed="false">
      <c r="A436" s="28" t="s">
        <v>1819</v>
      </c>
      <c r="B436" s="28" t="s">
        <v>1466</v>
      </c>
      <c r="C436" s="28" t="s">
        <v>1467</v>
      </c>
      <c r="D436" s="28" t="s">
        <v>1811</v>
      </c>
      <c r="E436" s="28" t="s">
        <v>1812</v>
      </c>
      <c r="F436" s="32" t="n">
        <v>21.5</v>
      </c>
      <c r="G436" s="28" t="s">
        <v>108</v>
      </c>
      <c r="H436" s="28" t="s">
        <v>1820</v>
      </c>
      <c r="I436" s="28" t="s">
        <v>1343</v>
      </c>
      <c r="J436" s="28" t="s">
        <v>1343</v>
      </c>
      <c r="K436" s="28"/>
      <c r="L436" s="28" t="s">
        <v>1814</v>
      </c>
      <c r="M436" s="28"/>
      <c r="N436" s="28" t="s">
        <v>1821</v>
      </c>
      <c r="O436" s="28" t="s">
        <v>1822</v>
      </c>
      <c r="P436" s="28"/>
    </row>
    <row r="437" customFormat="false" ht="15" hidden="false" customHeight="false" outlineLevel="0" collapsed="false">
      <c r="A437" s="28" t="s">
        <v>1823</v>
      </c>
      <c r="B437" s="28" t="s">
        <v>1466</v>
      </c>
      <c r="C437" s="28" t="s">
        <v>1467</v>
      </c>
      <c r="D437" s="28" t="s">
        <v>1811</v>
      </c>
      <c r="E437" s="28" t="s">
        <v>1812</v>
      </c>
      <c r="F437" s="32" t="n">
        <v>21.5</v>
      </c>
      <c r="G437" s="28" t="s">
        <v>108</v>
      </c>
      <c r="H437" s="28" t="s">
        <v>1824</v>
      </c>
      <c r="I437" s="28" t="s">
        <v>1101</v>
      </c>
      <c r="J437" s="28" t="s">
        <v>1101</v>
      </c>
      <c r="K437" s="28"/>
      <c r="L437" s="28" t="s">
        <v>1814</v>
      </c>
      <c r="M437" s="28"/>
      <c r="N437" s="28" t="s">
        <v>1821</v>
      </c>
      <c r="O437" s="28" t="s">
        <v>1822</v>
      </c>
      <c r="P437" s="28"/>
    </row>
    <row r="438" customFormat="false" ht="15" hidden="false" customHeight="false" outlineLevel="0" collapsed="false">
      <c r="A438" s="28" t="s">
        <v>1825</v>
      </c>
      <c r="B438" s="28" t="s">
        <v>1470</v>
      </c>
      <c r="C438" s="28" t="s">
        <v>1471</v>
      </c>
      <c r="D438" s="28" t="s">
        <v>1811</v>
      </c>
      <c r="E438" s="28" t="s">
        <v>1812</v>
      </c>
      <c r="F438" s="32" t="n">
        <v>21.5</v>
      </c>
      <c r="G438" s="28" t="s">
        <v>108</v>
      </c>
      <c r="H438" s="28" t="s">
        <v>1826</v>
      </c>
      <c r="I438" s="28" t="s">
        <v>1101</v>
      </c>
      <c r="J438" s="28" t="s">
        <v>1101</v>
      </c>
      <c r="K438" s="28"/>
      <c r="L438" s="28" t="s">
        <v>1814</v>
      </c>
      <c r="M438" s="28"/>
      <c r="N438" s="28" t="s">
        <v>1827</v>
      </c>
      <c r="O438" s="28" t="s">
        <v>1828</v>
      </c>
      <c r="P438" s="28"/>
    </row>
    <row r="439" customFormat="false" ht="15" hidden="false" customHeight="false" outlineLevel="0" collapsed="false">
      <c r="A439" s="28" t="s">
        <v>1829</v>
      </c>
      <c r="B439" s="28" t="s">
        <v>1466</v>
      </c>
      <c r="C439" s="28" t="s">
        <v>1467</v>
      </c>
      <c r="D439" s="28" t="s">
        <v>1811</v>
      </c>
      <c r="E439" s="28" t="s">
        <v>1812</v>
      </c>
      <c r="F439" s="32" t="n">
        <v>-710</v>
      </c>
      <c r="G439" s="28" t="s">
        <v>108</v>
      </c>
      <c r="H439" s="28" t="s">
        <v>1634</v>
      </c>
      <c r="I439" s="28" t="s">
        <v>1499</v>
      </c>
      <c r="J439" s="28" t="s">
        <v>910</v>
      </c>
      <c r="K439" s="28" t="s">
        <v>1830</v>
      </c>
      <c r="L439" s="28" t="s">
        <v>1068</v>
      </c>
      <c r="M439" s="28" t="s">
        <v>1069</v>
      </c>
      <c r="N439" s="28"/>
      <c r="O439" s="28"/>
      <c r="P439" s="28"/>
    </row>
    <row r="440" customFormat="false" ht="15" hidden="false" customHeight="false" outlineLevel="0" collapsed="false">
      <c r="A440" s="28" t="s">
        <v>1831</v>
      </c>
      <c r="B440" s="28" t="s">
        <v>1470</v>
      </c>
      <c r="C440" s="28" t="s">
        <v>1471</v>
      </c>
      <c r="D440" s="28" t="s">
        <v>1811</v>
      </c>
      <c r="E440" s="28" t="s">
        <v>1812</v>
      </c>
      <c r="F440" s="32" t="n">
        <v>21.5</v>
      </c>
      <c r="G440" s="28" t="s">
        <v>108</v>
      </c>
      <c r="H440" s="28" t="s">
        <v>1832</v>
      </c>
      <c r="I440" s="28" t="s">
        <v>1101</v>
      </c>
      <c r="J440" s="28" t="s">
        <v>1101</v>
      </c>
      <c r="K440" s="28"/>
      <c r="L440" s="28" t="s">
        <v>1814</v>
      </c>
      <c r="M440" s="28"/>
      <c r="N440" s="28" t="s">
        <v>1833</v>
      </c>
      <c r="O440" s="28" t="s">
        <v>1834</v>
      </c>
      <c r="P440" s="28"/>
    </row>
    <row r="441" customFormat="false" ht="15" hidden="false" customHeight="false" outlineLevel="0" collapsed="false">
      <c r="A441" s="28" t="s">
        <v>1835</v>
      </c>
      <c r="B441" s="28" t="s">
        <v>1470</v>
      </c>
      <c r="C441" s="28" t="s">
        <v>1471</v>
      </c>
      <c r="D441" s="28" t="s">
        <v>1811</v>
      </c>
      <c r="E441" s="28" t="s">
        <v>1812</v>
      </c>
      <c r="F441" s="32" t="n">
        <v>21.5</v>
      </c>
      <c r="G441" s="28" t="s">
        <v>108</v>
      </c>
      <c r="H441" s="28" t="s">
        <v>1836</v>
      </c>
      <c r="I441" s="28" t="s">
        <v>1343</v>
      </c>
      <c r="J441" s="28" t="s">
        <v>1343</v>
      </c>
      <c r="K441" s="28"/>
      <c r="L441" s="28" t="s">
        <v>1814</v>
      </c>
      <c r="M441" s="28"/>
      <c r="N441" s="28" t="s">
        <v>1833</v>
      </c>
      <c r="O441" s="28" t="s">
        <v>1834</v>
      </c>
      <c r="P441" s="28"/>
    </row>
    <row r="442" customFormat="false" ht="15" hidden="false" customHeight="false" outlineLevel="0" collapsed="false">
      <c r="A442" s="28" t="s">
        <v>1837</v>
      </c>
      <c r="B442" s="28" t="s">
        <v>1470</v>
      </c>
      <c r="C442" s="28" t="s">
        <v>1471</v>
      </c>
      <c r="D442" s="28" t="s">
        <v>1811</v>
      </c>
      <c r="E442" s="28" t="s">
        <v>1812</v>
      </c>
      <c r="F442" s="32" t="n">
        <v>21.5</v>
      </c>
      <c r="G442" s="28" t="s">
        <v>108</v>
      </c>
      <c r="H442" s="28" t="s">
        <v>1838</v>
      </c>
      <c r="I442" s="28" t="s">
        <v>1343</v>
      </c>
      <c r="J442" s="28" t="s">
        <v>1343</v>
      </c>
      <c r="K442" s="28"/>
      <c r="L442" s="28" t="s">
        <v>1814</v>
      </c>
      <c r="M442" s="28"/>
      <c r="N442" s="28" t="s">
        <v>1827</v>
      </c>
      <c r="O442" s="28" t="s">
        <v>1828</v>
      </c>
      <c r="P442" s="28"/>
    </row>
    <row r="443" customFormat="false" ht="15" hidden="false" customHeight="false" outlineLevel="0" collapsed="false">
      <c r="A443" s="28" t="s">
        <v>1839</v>
      </c>
      <c r="B443" s="28" t="s">
        <v>1466</v>
      </c>
      <c r="C443" s="28" t="s">
        <v>1467</v>
      </c>
      <c r="D443" s="28" t="s">
        <v>1811</v>
      </c>
      <c r="E443" s="28" t="s">
        <v>1812</v>
      </c>
      <c r="F443" s="32" t="n">
        <v>710</v>
      </c>
      <c r="G443" s="28" t="s">
        <v>108</v>
      </c>
      <c r="H443" s="28" t="s">
        <v>1840</v>
      </c>
      <c r="I443" s="28" t="s">
        <v>1499</v>
      </c>
      <c r="J443" s="28" t="s">
        <v>910</v>
      </c>
      <c r="K443" s="28" t="s">
        <v>1830</v>
      </c>
      <c r="L443" s="28" t="s">
        <v>1068</v>
      </c>
      <c r="M443" s="28" t="s">
        <v>1069</v>
      </c>
      <c r="N443" s="28"/>
      <c r="O443" s="28"/>
      <c r="P443" s="28"/>
    </row>
    <row r="444" customFormat="false" ht="15" hidden="false" customHeight="false" outlineLevel="0" collapsed="false">
      <c r="A444" s="28" t="s">
        <v>1841</v>
      </c>
      <c r="B444" s="28" t="s">
        <v>1466</v>
      </c>
      <c r="C444" s="28" t="s">
        <v>1467</v>
      </c>
      <c r="D444" s="28" t="s">
        <v>1811</v>
      </c>
      <c r="E444" s="28" t="s">
        <v>1812</v>
      </c>
      <c r="F444" s="32" t="n">
        <v>710</v>
      </c>
      <c r="G444" s="28" t="s">
        <v>108</v>
      </c>
      <c r="H444" s="28" t="s">
        <v>1637</v>
      </c>
      <c r="I444" s="28" t="s">
        <v>1499</v>
      </c>
      <c r="J444" s="28" t="s">
        <v>910</v>
      </c>
      <c r="K444" s="28" t="s">
        <v>1830</v>
      </c>
      <c r="L444" s="28" t="s">
        <v>1068</v>
      </c>
      <c r="M444" s="28" t="s">
        <v>1069</v>
      </c>
      <c r="N444" s="28"/>
      <c r="O444" s="28"/>
      <c r="P444" s="28"/>
    </row>
    <row r="445" customFormat="false" ht="15" hidden="false" customHeight="false" outlineLevel="0" collapsed="false">
      <c r="A445" s="28" t="s">
        <v>1842</v>
      </c>
      <c r="B445" s="28" t="s">
        <v>923</v>
      </c>
      <c r="C445" s="28" t="s">
        <v>924</v>
      </c>
      <c r="D445" s="28" t="s">
        <v>1843</v>
      </c>
      <c r="E445" s="28" t="s">
        <v>1844</v>
      </c>
      <c r="F445" s="32" t="n">
        <v>51.75</v>
      </c>
      <c r="G445" s="28" t="s">
        <v>108</v>
      </c>
      <c r="H445" s="28" t="s">
        <v>1845</v>
      </c>
      <c r="I445" s="28" t="s">
        <v>881</v>
      </c>
      <c r="J445" s="28" t="s">
        <v>1536</v>
      </c>
      <c r="K445" s="28" t="s">
        <v>1846</v>
      </c>
      <c r="L445" s="28" t="s">
        <v>911</v>
      </c>
      <c r="M445" s="28"/>
      <c r="N445" s="28"/>
      <c r="O445" s="28"/>
      <c r="P445" s="28"/>
    </row>
    <row r="446" customFormat="false" ht="15" hidden="false" customHeight="false" outlineLevel="0" collapsed="false">
      <c r="A446" s="28" t="s">
        <v>1847</v>
      </c>
      <c r="B446" s="28" t="s">
        <v>919</v>
      </c>
      <c r="C446" s="28" t="s">
        <v>161</v>
      </c>
      <c r="D446" s="28" t="s">
        <v>1843</v>
      </c>
      <c r="E446" s="28" t="s">
        <v>1844</v>
      </c>
      <c r="F446" s="32" t="n">
        <v>6423.52</v>
      </c>
      <c r="G446" s="28" t="s">
        <v>108</v>
      </c>
      <c r="H446" s="28" t="s">
        <v>1848</v>
      </c>
      <c r="I446" s="28" t="s">
        <v>881</v>
      </c>
      <c r="J446" s="28" t="s">
        <v>1536</v>
      </c>
      <c r="K446" s="28" t="s">
        <v>1849</v>
      </c>
      <c r="L446" s="28" t="s">
        <v>911</v>
      </c>
      <c r="M446" s="28"/>
      <c r="N446" s="28"/>
      <c r="O446" s="28"/>
      <c r="P446" s="28"/>
    </row>
    <row r="447" customFormat="false" ht="15" hidden="false" customHeight="false" outlineLevel="0" collapsed="false">
      <c r="A447" s="28" t="s">
        <v>1850</v>
      </c>
      <c r="B447" s="28" t="s">
        <v>1466</v>
      </c>
      <c r="C447" s="28" t="s">
        <v>1467</v>
      </c>
      <c r="D447" s="28" t="s">
        <v>1843</v>
      </c>
      <c r="E447" s="28" t="s">
        <v>1844</v>
      </c>
      <c r="F447" s="32" t="n">
        <v>488.45</v>
      </c>
      <c r="G447" s="28" t="s">
        <v>108</v>
      </c>
      <c r="H447" s="28" t="s">
        <v>1851</v>
      </c>
      <c r="I447" s="28" t="s">
        <v>881</v>
      </c>
      <c r="J447" s="28" t="s">
        <v>1536</v>
      </c>
      <c r="K447" s="28" t="s">
        <v>1852</v>
      </c>
      <c r="L447" s="28" t="s">
        <v>911</v>
      </c>
      <c r="M447" s="28"/>
      <c r="N447" s="28"/>
      <c r="O447" s="28"/>
      <c r="P447" s="28"/>
    </row>
    <row r="448" customFormat="false" ht="15" hidden="false" customHeight="false" outlineLevel="0" collapsed="false">
      <c r="A448" s="28" t="s">
        <v>1853</v>
      </c>
      <c r="B448" s="28" t="s">
        <v>877</v>
      </c>
      <c r="C448" s="28" t="s">
        <v>104</v>
      </c>
      <c r="D448" s="28" t="s">
        <v>1843</v>
      </c>
      <c r="E448" s="28" t="s">
        <v>1844</v>
      </c>
      <c r="F448" s="32" t="n">
        <v>28.82</v>
      </c>
      <c r="G448" s="28" t="s">
        <v>108</v>
      </c>
      <c r="H448" s="28" t="s">
        <v>1854</v>
      </c>
      <c r="I448" s="28" t="s">
        <v>881</v>
      </c>
      <c r="J448" s="28" t="s">
        <v>1536</v>
      </c>
      <c r="K448" s="28" t="s">
        <v>1855</v>
      </c>
      <c r="L448" s="28" t="s">
        <v>911</v>
      </c>
      <c r="M448" s="28"/>
      <c r="N448" s="28"/>
      <c r="O448" s="28"/>
      <c r="P448" s="28"/>
    </row>
    <row r="449" customFormat="false" ht="15" hidden="false" customHeight="false" outlineLevel="0" collapsed="false">
      <c r="A449" s="28" t="s">
        <v>1856</v>
      </c>
      <c r="B449" s="28" t="s">
        <v>877</v>
      </c>
      <c r="C449" s="28" t="s">
        <v>104</v>
      </c>
      <c r="D449" s="28" t="s">
        <v>1843</v>
      </c>
      <c r="E449" s="28" t="s">
        <v>1844</v>
      </c>
      <c r="F449" s="32" t="n">
        <v>445.88</v>
      </c>
      <c r="G449" s="28" t="s">
        <v>108</v>
      </c>
      <c r="H449" s="28" t="s">
        <v>1857</v>
      </c>
      <c r="I449" s="28" t="s">
        <v>881</v>
      </c>
      <c r="J449" s="28" t="s">
        <v>1536</v>
      </c>
      <c r="K449" s="28" t="s">
        <v>1855</v>
      </c>
      <c r="L449" s="28" t="s">
        <v>911</v>
      </c>
      <c r="M449" s="28"/>
      <c r="N449" s="28"/>
      <c r="O449" s="28"/>
      <c r="P449" s="28"/>
    </row>
    <row r="450" customFormat="false" ht="15" hidden="false" customHeight="false" outlineLevel="0" collapsed="false">
      <c r="A450" s="28" t="s">
        <v>1858</v>
      </c>
      <c r="B450" s="28" t="s">
        <v>877</v>
      </c>
      <c r="C450" s="28" t="s">
        <v>104</v>
      </c>
      <c r="D450" s="28" t="s">
        <v>1843</v>
      </c>
      <c r="E450" s="28" t="s">
        <v>1844</v>
      </c>
      <c r="F450" s="32" t="n">
        <v>1166.05</v>
      </c>
      <c r="G450" s="28" t="s">
        <v>108</v>
      </c>
      <c r="H450" s="28" t="s">
        <v>1859</v>
      </c>
      <c r="I450" s="28" t="s">
        <v>881</v>
      </c>
      <c r="J450" s="28" t="s">
        <v>1536</v>
      </c>
      <c r="K450" s="28" t="s">
        <v>1855</v>
      </c>
      <c r="L450" s="28" t="s">
        <v>911</v>
      </c>
      <c r="M450" s="28"/>
      <c r="N450" s="28"/>
      <c r="O450" s="28"/>
      <c r="P450" s="28"/>
    </row>
    <row r="451" customFormat="false" ht="15" hidden="false" customHeight="false" outlineLevel="0" collapsed="false">
      <c r="A451" s="28" t="s">
        <v>1860</v>
      </c>
      <c r="B451" s="28" t="s">
        <v>919</v>
      </c>
      <c r="C451" s="28" t="s">
        <v>161</v>
      </c>
      <c r="D451" s="28" t="s">
        <v>1843</v>
      </c>
      <c r="E451" s="28" t="s">
        <v>1844</v>
      </c>
      <c r="F451" s="32" t="n">
        <v>25.4</v>
      </c>
      <c r="G451" s="28" t="s">
        <v>108</v>
      </c>
      <c r="H451" s="28" t="s">
        <v>1861</v>
      </c>
      <c r="I451" s="28" t="s">
        <v>889</v>
      </c>
      <c r="J451" s="28" t="s">
        <v>1862</v>
      </c>
      <c r="K451" s="28" t="s">
        <v>1849</v>
      </c>
      <c r="L451" s="28" t="s">
        <v>911</v>
      </c>
      <c r="M451" s="28"/>
      <c r="N451" s="28"/>
      <c r="O451" s="28"/>
      <c r="P451" s="28"/>
    </row>
    <row r="452" customFormat="false" ht="15" hidden="false" customHeight="false" outlineLevel="0" collapsed="false">
      <c r="A452" s="28" t="s">
        <v>1863</v>
      </c>
      <c r="B452" s="28" t="s">
        <v>877</v>
      </c>
      <c r="C452" s="28" t="s">
        <v>104</v>
      </c>
      <c r="D452" s="28" t="s">
        <v>1843</v>
      </c>
      <c r="E452" s="28" t="s">
        <v>1844</v>
      </c>
      <c r="F452" s="32" t="n">
        <v>4410.62</v>
      </c>
      <c r="G452" s="28" t="s">
        <v>108</v>
      </c>
      <c r="H452" s="28" t="s">
        <v>1864</v>
      </c>
      <c r="I452" s="28" t="s">
        <v>881</v>
      </c>
      <c r="J452" s="28" t="s">
        <v>1536</v>
      </c>
      <c r="K452" s="28" t="s">
        <v>1855</v>
      </c>
      <c r="L452" s="28" t="s">
        <v>911</v>
      </c>
      <c r="M452" s="28"/>
      <c r="N452" s="28"/>
      <c r="O452" s="28"/>
      <c r="P452" s="28"/>
    </row>
    <row r="453" customFormat="false" ht="15" hidden="false" customHeight="false" outlineLevel="0" collapsed="false">
      <c r="A453" s="28" t="s">
        <v>1865</v>
      </c>
      <c r="B453" s="28" t="s">
        <v>1466</v>
      </c>
      <c r="C453" s="28" t="s">
        <v>1467</v>
      </c>
      <c r="D453" s="28" t="s">
        <v>1843</v>
      </c>
      <c r="E453" s="28" t="s">
        <v>1844</v>
      </c>
      <c r="F453" s="32" t="n">
        <v>1018.2</v>
      </c>
      <c r="G453" s="28" t="s">
        <v>108</v>
      </c>
      <c r="H453" s="28" t="s">
        <v>1866</v>
      </c>
      <c r="I453" s="28" t="s">
        <v>889</v>
      </c>
      <c r="J453" s="28" t="s">
        <v>1862</v>
      </c>
      <c r="K453" s="28" t="s">
        <v>1852</v>
      </c>
      <c r="L453" s="28" t="s">
        <v>911</v>
      </c>
      <c r="M453" s="28"/>
      <c r="N453" s="28"/>
      <c r="O453" s="28"/>
      <c r="P453" s="28"/>
    </row>
    <row r="454" customFormat="false" ht="15" hidden="false" customHeight="false" outlineLevel="0" collapsed="false">
      <c r="A454" s="28" t="s">
        <v>1867</v>
      </c>
      <c r="B454" s="28" t="s">
        <v>886</v>
      </c>
      <c r="C454" s="28" t="s">
        <v>887</v>
      </c>
      <c r="D454" s="28" t="s">
        <v>1843</v>
      </c>
      <c r="E454" s="28" t="s">
        <v>1844</v>
      </c>
      <c r="F454" s="32" t="n">
        <v>46.82</v>
      </c>
      <c r="G454" s="28" t="s">
        <v>108</v>
      </c>
      <c r="H454" s="28" t="s">
        <v>1868</v>
      </c>
      <c r="I454" s="28" t="s">
        <v>881</v>
      </c>
      <c r="J454" s="28" t="s">
        <v>1536</v>
      </c>
      <c r="K454" s="28" t="s">
        <v>1869</v>
      </c>
      <c r="L454" s="28" t="s">
        <v>911</v>
      </c>
      <c r="M454" s="28"/>
      <c r="N454" s="28"/>
      <c r="O454" s="28"/>
      <c r="P454" s="28"/>
    </row>
    <row r="455" customFormat="false" ht="15" hidden="false" customHeight="false" outlineLevel="0" collapsed="false">
      <c r="A455" s="28" t="s">
        <v>1870</v>
      </c>
      <c r="B455" s="28" t="s">
        <v>923</v>
      </c>
      <c r="C455" s="28" t="s">
        <v>924</v>
      </c>
      <c r="D455" s="28" t="s">
        <v>1843</v>
      </c>
      <c r="E455" s="28" t="s">
        <v>1844</v>
      </c>
      <c r="F455" s="32" t="n">
        <v>171.1</v>
      </c>
      <c r="G455" s="28" t="s">
        <v>108</v>
      </c>
      <c r="H455" s="28" t="s">
        <v>1871</v>
      </c>
      <c r="I455" s="28" t="s">
        <v>889</v>
      </c>
      <c r="J455" s="28" t="s">
        <v>1862</v>
      </c>
      <c r="K455" s="28" t="s">
        <v>1846</v>
      </c>
      <c r="L455" s="28" t="s">
        <v>911</v>
      </c>
      <c r="M455" s="28"/>
      <c r="N455" s="28"/>
      <c r="O455" s="28"/>
      <c r="P455" s="28"/>
    </row>
    <row r="456" customFormat="false" ht="15" hidden="false" customHeight="false" outlineLevel="0" collapsed="false">
      <c r="A456" s="28" t="s">
        <v>1872</v>
      </c>
      <c r="B456" s="28" t="s">
        <v>886</v>
      </c>
      <c r="C456" s="28" t="s">
        <v>887</v>
      </c>
      <c r="D456" s="28" t="s">
        <v>1843</v>
      </c>
      <c r="E456" s="28" t="s">
        <v>1844</v>
      </c>
      <c r="F456" s="32" t="n">
        <v>3968.79</v>
      </c>
      <c r="G456" s="28" t="s">
        <v>108</v>
      </c>
      <c r="H456" s="28" t="s">
        <v>1873</v>
      </c>
      <c r="I456" s="28" t="s">
        <v>881</v>
      </c>
      <c r="J456" s="28" t="s">
        <v>1536</v>
      </c>
      <c r="K456" s="28" t="s">
        <v>1869</v>
      </c>
      <c r="L456" s="28" t="s">
        <v>911</v>
      </c>
      <c r="M456" s="28"/>
      <c r="N456" s="28"/>
      <c r="O456" s="28"/>
      <c r="P456" s="28"/>
    </row>
    <row r="457" customFormat="false" ht="15" hidden="false" customHeight="false" outlineLevel="0" collapsed="false">
      <c r="A457" s="28" t="s">
        <v>1874</v>
      </c>
      <c r="B457" s="28" t="s">
        <v>886</v>
      </c>
      <c r="C457" s="28" t="s">
        <v>887</v>
      </c>
      <c r="D457" s="28" t="s">
        <v>1843</v>
      </c>
      <c r="E457" s="28" t="s">
        <v>1844</v>
      </c>
      <c r="F457" s="32" t="n">
        <v>36.49</v>
      </c>
      <c r="G457" s="28" t="s">
        <v>108</v>
      </c>
      <c r="H457" s="28" t="s">
        <v>1875</v>
      </c>
      <c r="I457" s="28" t="s">
        <v>889</v>
      </c>
      <c r="J457" s="28" t="s">
        <v>1862</v>
      </c>
      <c r="K457" s="28" t="s">
        <v>1869</v>
      </c>
      <c r="L457" s="28" t="s">
        <v>911</v>
      </c>
      <c r="M457" s="28"/>
      <c r="N457" s="28"/>
      <c r="O457" s="28"/>
      <c r="P457" s="28"/>
    </row>
    <row r="458" customFormat="false" ht="15" hidden="false" customHeight="false" outlineLevel="0" collapsed="false">
      <c r="A458" s="28" t="s">
        <v>1876</v>
      </c>
      <c r="B458" s="28" t="s">
        <v>877</v>
      </c>
      <c r="C458" s="28" t="s">
        <v>104</v>
      </c>
      <c r="D458" s="28" t="s">
        <v>1843</v>
      </c>
      <c r="E458" s="28" t="s">
        <v>1844</v>
      </c>
      <c r="F458" s="32" t="n">
        <v>118.19</v>
      </c>
      <c r="G458" s="28" t="s">
        <v>108</v>
      </c>
      <c r="H458" s="28" t="s">
        <v>1877</v>
      </c>
      <c r="I458" s="28" t="s">
        <v>881</v>
      </c>
      <c r="J458" s="28" t="s">
        <v>1536</v>
      </c>
      <c r="K458" s="28" t="s">
        <v>1855</v>
      </c>
      <c r="L458" s="28" t="s">
        <v>911</v>
      </c>
      <c r="M458" s="28"/>
      <c r="N458" s="28"/>
      <c r="O458" s="28"/>
      <c r="P458" s="28"/>
    </row>
    <row r="459" customFormat="false" ht="15" hidden="false" customHeight="false" outlineLevel="0" collapsed="false">
      <c r="A459" s="28" t="s">
        <v>1878</v>
      </c>
      <c r="B459" s="28" t="s">
        <v>877</v>
      </c>
      <c r="C459" s="28" t="s">
        <v>104</v>
      </c>
      <c r="D459" s="28" t="s">
        <v>1843</v>
      </c>
      <c r="E459" s="28" t="s">
        <v>1844</v>
      </c>
      <c r="F459" s="32" t="n">
        <v>35.12</v>
      </c>
      <c r="G459" s="28" t="s">
        <v>108</v>
      </c>
      <c r="H459" s="28" t="s">
        <v>1879</v>
      </c>
      <c r="I459" s="28" t="s">
        <v>881</v>
      </c>
      <c r="J459" s="28" t="s">
        <v>1536</v>
      </c>
      <c r="K459" s="28" t="s">
        <v>1855</v>
      </c>
      <c r="L459" s="28" t="s">
        <v>911</v>
      </c>
      <c r="M459" s="28"/>
      <c r="N459" s="28"/>
      <c r="O459" s="28"/>
      <c r="P459" s="28"/>
    </row>
    <row r="460" customFormat="false" ht="15" hidden="false" customHeight="false" outlineLevel="0" collapsed="false">
      <c r="A460" s="28" t="s">
        <v>1880</v>
      </c>
      <c r="B460" s="28" t="s">
        <v>877</v>
      </c>
      <c r="C460" s="28" t="s">
        <v>104</v>
      </c>
      <c r="D460" s="28" t="s">
        <v>1843</v>
      </c>
      <c r="E460" s="28" t="s">
        <v>1844</v>
      </c>
      <c r="F460" s="32" t="n">
        <v>1379.25</v>
      </c>
      <c r="G460" s="28" t="s">
        <v>108</v>
      </c>
      <c r="H460" s="28" t="s">
        <v>1881</v>
      </c>
      <c r="I460" s="28" t="s">
        <v>889</v>
      </c>
      <c r="J460" s="28" t="s">
        <v>1862</v>
      </c>
      <c r="K460" s="28" t="s">
        <v>1855</v>
      </c>
      <c r="L460" s="28" t="s">
        <v>911</v>
      </c>
      <c r="M460" s="28"/>
      <c r="N460" s="28"/>
      <c r="O460" s="28"/>
      <c r="P460" s="28"/>
    </row>
    <row r="461" customFormat="false" ht="15" hidden="false" customHeight="false" outlineLevel="0" collapsed="false">
      <c r="A461" s="28" t="s">
        <v>1882</v>
      </c>
      <c r="B461" s="28" t="s">
        <v>923</v>
      </c>
      <c r="C461" s="28" t="s">
        <v>924</v>
      </c>
      <c r="D461" s="28" t="s">
        <v>1843</v>
      </c>
      <c r="E461" s="28" t="s">
        <v>1844</v>
      </c>
      <c r="F461" s="32" t="n">
        <v>78.03</v>
      </c>
      <c r="G461" s="28" t="s">
        <v>108</v>
      </c>
      <c r="H461" s="28" t="s">
        <v>1883</v>
      </c>
      <c r="I461" s="28" t="s">
        <v>881</v>
      </c>
      <c r="J461" s="28" t="s">
        <v>1536</v>
      </c>
      <c r="K461" s="28" t="s">
        <v>1846</v>
      </c>
      <c r="L461" s="28" t="s">
        <v>911</v>
      </c>
      <c r="M461" s="28"/>
      <c r="N461" s="28"/>
      <c r="O461" s="28"/>
      <c r="P461" s="28"/>
    </row>
    <row r="462" customFormat="false" ht="15" hidden="false" customHeight="false" outlineLevel="0" collapsed="false">
      <c r="A462" s="28" t="s">
        <v>1884</v>
      </c>
      <c r="B462" s="28" t="s">
        <v>931</v>
      </c>
      <c r="C462" s="28" t="s">
        <v>932</v>
      </c>
      <c r="D462" s="28" t="s">
        <v>1843</v>
      </c>
      <c r="E462" s="28" t="s">
        <v>1844</v>
      </c>
      <c r="F462" s="32" t="n">
        <v>452.95</v>
      </c>
      <c r="G462" s="28" t="s">
        <v>108</v>
      </c>
      <c r="H462" s="28" t="s">
        <v>1885</v>
      </c>
      <c r="I462" s="28" t="s">
        <v>881</v>
      </c>
      <c r="J462" s="28" t="s">
        <v>1536</v>
      </c>
      <c r="K462" s="28" t="s">
        <v>1886</v>
      </c>
      <c r="L462" s="28" t="s">
        <v>911</v>
      </c>
      <c r="M462" s="28"/>
      <c r="N462" s="28"/>
      <c r="O462" s="28"/>
      <c r="P462" s="28"/>
    </row>
    <row r="463" customFormat="false" ht="15" hidden="false" customHeight="false" outlineLevel="0" collapsed="false">
      <c r="A463" s="28" t="s">
        <v>1887</v>
      </c>
      <c r="B463" s="28" t="s">
        <v>931</v>
      </c>
      <c r="C463" s="28" t="s">
        <v>932</v>
      </c>
      <c r="D463" s="28" t="s">
        <v>1843</v>
      </c>
      <c r="E463" s="28" t="s">
        <v>1844</v>
      </c>
      <c r="F463" s="32" t="n">
        <v>157.06</v>
      </c>
      <c r="G463" s="28" t="s">
        <v>108</v>
      </c>
      <c r="H463" s="28" t="s">
        <v>1888</v>
      </c>
      <c r="I463" s="28" t="s">
        <v>889</v>
      </c>
      <c r="J463" s="28" t="s">
        <v>1862</v>
      </c>
      <c r="K463" s="28" t="s">
        <v>1886</v>
      </c>
      <c r="L463" s="28" t="s">
        <v>911</v>
      </c>
      <c r="M463" s="28"/>
      <c r="N463" s="28"/>
      <c r="O463" s="28"/>
      <c r="P463" s="28"/>
    </row>
    <row r="464" customFormat="false" ht="15" hidden="false" customHeight="false" outlineLevel="0" collapsed="false">
      <c r="A464" s="28" t="s">
        <v>1889</v>
      </c>
      <c r="B464" s="28" t="s">
        <v>931</v>
      </c>
      <c r="C464" s="28" t="s">
        <v>932</v>
      </c>
      <c r="D464" s="28" t="s">
        <v>1843</v>
      </c>
      <c r="E464" s="28" t="s">
        <v>1844</v>
      </c>
      <c r="F464" s="32" t="n">
        <v>28.6</v>
      </c>
      <c r="G464" s="28" t="s">
        <v>108</v>
      </c>
      <c r="H464" s="28" t="s">
        <v>1890</v>
      </c>
      <c r="I464" s="28" t="s">
        <v>881</v>
      </c>
      <c r="J464" s="28" t="s">
        <v>1536</v>
      </c>
      <c r="K464" s="28" t="s">
        <v>1886</v>
      </c>
      <c r="L464" s="28" t="s">
        <v>911</v>
      </c>
      <c r="M464" s="28"/>
      <c r="N464" s="28"/>
      <c r="O464" s="28"/>
      <c r="P464" s="28"/>
    </row>
    <row r="465" customFormat="false" ht="15" hidden="false" customHeight="false" outlineLevel="0" collapsed="false">
      <c r="A465" s="28" t="s">
        <v>1891</v>
      </c>
      <c r="B465" s="28" t="s">
        <v>877</v>
      </c>
      <c r="C465" s="28" t="s">
        <v>104</v>
      </c>
      <c r="D465" s="28" t="s">
        <v>1843</v>
      </c>
      <c r="E465" s="28" t="s">
        <v>1844</v>
      </c>
      <c r="F465" s="32" t="n">
        <v>33.84</v>
      </c>
      <c r="G465" s="28" t="s">
        <v>108</v>
      </c>
      <c r="H465" s="28" t="s">
        <v>1892</v>
      </c>
      <c r="I465" s="28" t="s">
        <v>889</v>
      </c>
      <c r="J465" s="28" t="s">
        <v>1862</v>
      </c>
      <c r="K465" s="28" t="s">
        <v>1855</v>
      </c>
      <c r="L465" s="28" t="s">
        <v>911</v>
      </c>
      <c r="M465" s="28"/>
      <c r="N465" s="28"/>
      <c r="O465" s="28"/>
      <c r="P465" s="28"/>
    </row>
    <row r="466" customFormat="false" ht="15" hidden="false" customHeight="false" outlineLevel="0" collapsed="false">
      <c r="A466" s="28" t="s">
        <v>1893</v>
      </c>
      <c r="B466" s="28" t="s">
        <v>919</v>
      </c>
      <c r="C466" s="28" t="s">
        <v>161</v>
      </c>
      <c r="D466" s="28" t="s">
        <v>1843</v>
      </c>
      <c r="E466" s="28" t="s">
        <v>1844</v>
      </c>
      <c r="F466" s="32" t="n">
        <v>194.81</v>
      </c>
      <c r="G466" s="28" t="s">
        <v>108</v>
      </c>
      <c r="H466" s="28" t="s">
        <v>1894</v>
      </c>
      <c r="I466" s="28" t="s">
        <v>889</v>
      </c>
      <c r="J466" s="28" t="s">
        <v>1862</v>
      </c>
      <c r="K466" s="28" t="s">
        <v>1849</v>
      </c>
      <c r="L466" s="28" t="s">
        <v>911</v>
      </c>
      <c r="M466" s="28"/>
      <c r="N466" s="28"/>
      <c r="O466" s="28"/>
      <c r="P466" s="28"/>
    </row>
    <row r="467" customFormat="false" ht="15" hidden="false" customHeight="false" outlineLevel="0" collapsed="false">
      <c r="A467" s="28" t="s">
        <v>1895</v>
      </c>
      <c r="B467" s="28" t="s">
        <v>886</v>
      </c>
      <c r="C467" s="28" t="s">
        <v>887</v>
      </c>
      <c r="D467" s="28" t="s">
        <v>1843</v>
      </c>
      <c r="E467" s="28" t="s">
        <v>1844</v>
      </c>
      <c r="F467" s="32" t="n">
        <v>394.76</v>
      </c>
      <c r="G467" s="28" t="s">
        <v>108</v>
      </c>
      <c r="H467" s="28" t="s">
        <v>1896</v>
      </c>
      <c r="I467" s="28" t="s">
        <v>881</v>
      </c>
      <c r="J467" s="28" t="s">
        <v>1536</v>
      </c>
      <c r="K467" s="28" t="s">
        <v>1869</v>
      </c>
      <c r="L467" s="28" t="s">
        <v>911</v>
      </c>
      <c r="M467" s="28"/>
      <c r="N467" s="28"/>
      <c r="O467" s="28"/>
      <c r="P467" s="28"/>
    </row>
    <row r="468" customFormat="false" ht="15" hidden="false" customHeight="false" outlineLevel="0" collapsed="false">
      <c r="A468" s="28" t="s">
        <v>1897</v>
      </c>
      <c r="B468" s="28" t="s">
        <v>877</v>
      </c>
      <c r="C468" s="28" t="s">
        <v>104</v>
      </c>
      <c r="D468" s="28" t="s">
        <v>1843</v>
      </c>
      <c r="E468" s="28" t="s">
        <v>1844</v>
      </c>
      <c r="F468" s="32" t="n">
        <v>2167.51</v>
      </c>
      <c r="G468" s="28" t="s">
        <v>108</v>
      </c>
      <c r="H468" s="28" t="s">
        <v>1898</v>
      </c>
      <c r="I468" s="28" t="s">
        <v>889</v>
      </c>
      <c r="J468" s="28" t="s">
        <v>1862</v>
      </c>
      <c r="K468" s="28" t="s">
        <v>1855</v>
      </c>
      <c r="L468" s="28" t="s">
        <v>911</v>
      </c>
      <c r="M468" s="28"/>
      <c r="N468" s="28"/>
      <c r="O468" s="28"/>
      <c r="P468" s="28"/>
    </row>
    <row r="469" customFormat="false" ht="15" hidden="false" customHeight="false" outlineLevel="0" collapsed="false">
      <c r="A469" s="28" t="s">
        <v>1899</v>
      </c>
      <c r="B469" s="28" t="s">
        <v>919</v>
      </c>
      <c r="C469" s="28" t="s">
        <v>161</v>
      </c>
      <c r="D469" s="28" t="s">
        <v>1843</v>
      </c>
      <c r="E469" s="28" t="s">
        <v>1844</v>
      </c>
      <c r="F469" s="32" t="n">
        <v>150.83</v>
      </c>
      <c r="G469" s="28" t="s">
        <v>108</v>
      </c>
      <c r="H469" s="28" t="s">
        <v>1900</v>
      </c>
      <c r="I469" s="28" t="s">
        <v>881</v>
      </c>
      <c r="J469" s="28" t="s">
        <v>1536</v>
      </c>
      <c r="K469" s="28" t="s">
        <v>1849</v>
      </c>
      <c r="L469" s="28" t="s">
        <v>911</v>
      </c>
      <c r="M469" s="28"/>
      <c r="N469" s="28"/>
      <c r="O469" s="28"/>
      <c r="P469" s="28"/>
    </row>
    <row r="470" customFormat="false" ht="15" hidden="false" customHeight="false" outlineLevel="0" collapsed="false">
      <c r="A470" s="28" t="s">
        <v>1901</v>
      </c>
      <c r="B470" s="28" t="s">
        <v>877</v>
      </c>
      <c r="C470" s="28" t="s">
        <v>104</v>
      </c>
      <c r="D470" s="28" t="s">
        <v>1843</v>
      </c>
      <c r="E470" s="28" t="s">
        <v>1844</v>
      </c>
      <c r="F470" s="32" t="n">
        <v>56.2</v>
      </c>
      <c r="G470" s="28" t="s">
        <v>108</v>
      </c>
      <c r="H470" s="28" t="s">
        <v>1902</v>
      </c>
      <c r="I470" s="28" t="s">
        <v>881</v>
      </c>
      <c r="J470" s="28" t="s">
        <v>1536</v>
      </c>
      <c r="K470" s="28" t="s">
        <v>1855</v>
      </c>
      <c r="L470" s="28" t="s">
        <v>911</v>
      </c>
      <c r="M470" s="28"/>
      <c r="N470" s="28"/>
      <c r="O470" s="28"/>
      <c r="P470" s="28"/>
    </row>
    <row r="471" customFormat="false" ht="15" hidden="false" customHeight="false" outlineLevel="0" collapsed="false">
      <c r="A471" s="28" t="s">
        <v>1903</v>
      </c>
      <c r="B471" s="28" t="s">
        <v>877</v>
      </c>
      <c r="C471" s="28" t="s">
        <v>104</v>
      </c>
      <c r="D471" s="28" t="s">
        <v>1843</v>
      </c>
      <c r="E471" s="28" t="s">
        <v>1844</v>
      </c>
      <c r="F471" s="32" t="n">
        <v>39.19</v>
      </c>
      <c r="G471" s="28" t="s">
        <v>108</v>
      </c>
      <c r="H471" s="28" t="s">
        <v>1904</v>
      </c>
      <c r="I471" s="28" t="s">
        <v>889</v>
      </c>
      <c r="J471" s="28" t="s">
        <v>1862</v>
      </c>
      <c r="K471" s="28" t="s">
        <v>1855</v>
      </c>
      <c r="L471" s="28" t="s">
        <v>911</v>
      </c>
      <c r="M471" s="28"/>
      <c r="N471" s="28"/>
      <c r="O471" s="28"/>
      <c r="P471" s="28"/>
    </row>
    <row r="472" customFormat="false" ht="15" hidden="false" customHeight="false" outlineLevel="0" collapsed="false">
      <c r="A472" s="28" t="s">
        <v>1905</v>
      </c>
      <c r="B472" s="28" t="s">
        <v>886</v>
      </c>
      <c r="C472" s="28" t="s">
        <v>887</v>
      </c>
      <c r="D472" s="28" t="s">
        <v>1843</v>
      </c>
      <c r="E472" s="28" t="s">
        <v>1844</v>
      </c>
      <c r="F472" s="32" t="n">
        <v>673.58</v>
      </c>
      <c r="G472" s="28" t="s">
        <v>108</v>
      </c>
      <c r="H472" s="28" t="s">
        <v>1906</v>
      </c>
      <c r="I472" s="28" t="s">
        <v>881</v>
      </c>
      <c r="J472" s="28" t="s">
        <v>1536</v>
      </c>
      <c r="K472" s="28" t="s">
        <v>1869</v>
      </c>
      <c r="L472" s="28" t="s">
        <v>911</v>
      </c>
      <c r="M472" s="28"/>
      <c r="N472" s="28"/>
      <c r="O472" s="28"/>
      <c r="P472" s="28"/>
    </row>
    <row r="473" customFormat="false" ht="15" hidden="false" customHeight="false" outlineLevel="0" collapsed="false">
      <c r="A473" s="28" t="s">
        <v>1907</v>
      </c>
      <c r="B473" s="28" t="s">
        <v>877</v>
      </c>
      <c r="C473" s="28" t="s">
        <v>104</v>
      </c>
      <c r="D473" s="28" t="s">
        <v>1843</v>
      </c>
      <c r="E473" s="28" t="s">
        <v>1844</v>
      </c>
      <c r="F473" s="32" t="n">
        <v>41.15</v>
      </c>
      <c r="G473" s="28" t="s">
        <v>108</v>
      </c>
      <c r="H473" s="28" t="s">
        <v>1908</v>
      </c>
      <c r="I473" s="28" t="s">
        <v>889</v>
      </c>
      <c r="J473" s="28" t="s">
        <v>1862</v>
      </c>
      <c r="K473" s="28" t="s">
        <v>1855</v>
      </c>
      <c r="L473" s="28" t="s">
        <v>911</v>
      </c>
      <c r="M473" s="28"/>
      <c r="N473" s="28"/>
      <c r="O473" s="28"/>
      <c r="P473" s="28"/>
    </row>
    <row r="474" customFormat="false" ht="15" hidden="false" customHeight="false" outlineLevel="0" collapsed="false">
      <c r="A474" s="28" t="s">
        <v>1909</v>
      </c>
      <c r="B474" s="28" t="s">
        <v>1476</v>
      </c>
      <c r="C474" s="28" t="s">
        <v>1477</v>
      </c>
      <c r="D474" s="28" t="s">
        <v>1910</v>
      </c>
      <c r="E474" s="28" t="s">
        <v>1911</v>
      </c>
      <c r="F474" s="32" t="n">
        <v>178</v>
      </c>
      <c r="G474" s="28" t="s">
        <v>108</v>
      </c>
      <c r="H474" s="28" t="s">
        <v>1342</v>
      </c>
      <c r="I474" s="28" t="s">
        <v>1343</v>
      </c>
      <c r="J474" s="28" t="s">
        <v>1343</v>
      </c>
      <c r="K474" s="28" t="s">
        <v>1344</v>
      </c>
      <c r="L474" s="28" t="s">
        <v>899</v>
      </c>
      <c r="M474" s="28" t="s">
        <v>1345</v>
      </c>
      <c r="N474" s="28"/>
      <c r="O474" s="28"/>
      <c r="P474" s="28"/>
    </row>
    <row r="475" customFormat="false" ht="15" hidden="false" customHeight="false" outlineLevel="0" collapsed="false">
      <c r="A475" s="28" t="s">
        <v>1912</v>
      </c>
      <c r="B475" s="28" t="s">
        <v>1470</v>
      </c>
      <c r="C475" s="28" t="s">
        <v>1471</v>
      </c>
      <c r="D475" s="28" t="s">
        <v>1910</v>
      </c>
      <c r="E475" s="28" t="s">
        <v>1911</v>
      </c>
      <c r="F475" s="32" t="n">
        <v>979</v>
      </c>
      <c r="G475" s="28" t="s">
        <v>108</v>
      </c>
      <c r="H475" s="28" t="s">
        <v>1342</v>
      </c>
      <c r="I475" s="28" t="s">
        <v>1343</v>
      </c>
      <c r="J475" s="28" t="s">
        <v>1343</v>
      </c>
      <c r="K475" s="28" t="s">
        <v>1344</v>
      </c>
      <c r="L475" s="28" t="s">
        <v>899</v>
      </c>
      <c r="M475" s="28" t="s">
        <v>1345</v>
      </c>
      <c r="N475" s="28"/>
      <c r="O475" s="28"/>
      <c r="P475" s="28"/>
    </row>
    <row r="476" customFormat="false" ht="15" hidden="false" customHeight="false" outlineLevel="0" collapsed="false">
      <c r="A476" s="28" t="s">
        <v>1913</v>
      </c>
      <c r="B476" s="28" t="s">
        <v>1466</v>
      </c>
      <c r="C476" s="28" t="s">
        <v>1467</v>
      </c>
      <c r="D476" s="28" t="s">
        <v>1910</v>
      </c>
      <c r="E476" s="28" t="s">
        <v>1911</v>
      </c>
      <c r="F476" s="32" t="n">
        <v>890</v>
      </c>
      <c r="G476" s="28" t="s">
        <v>108</v>
      </c>
      <c r="H476" s="28" t="s">
        <v>1342</v>
      </c>
      <c r="I476" s="28" t="s">
        <v>1343</v>
      </c>
      <c r="J476" s="28" t="s">
        <v>1343</v>
      </c>
      <c r="K476" s="28" t="s">
        <v>1344</v>
      </c>
      <c r="L476" s="28" t="s">
        <v>899</v>
      </c>
      <c r="M476" s="28" t="s">
        <v>1345</v>
      </c>
      <c r="N476" s="28"/>
      <c r="O476" s="28"/>
      <c r="P476" s="28"/>
    </row>
    <row r="477" customFormat="false" ht="15" hidden="false" customHeight="false" outlineLevel="0" collapsed="false">
      <c r="A477" s="28" t="s">
        <v>1914</v>
      </c>
      <c r="B477" s="28" t="s">
        <v>1470</v>
      </c>
      <c r="C477" s="28" t="s">
        <v>1471</v>
      </c>
      <c r="D477" s="28" t="s">
        <v>1910</v>
      </c>
      <c r="E477" s="28" t="s">
        <v>1911</v>
      </c>
      <c r="F477" s="32" t="n">
        <v>4435</v>
      </c>
      <c r="G477" s="28" t="s">
        <v>108</v>
      </c>
      <c r="H477" s="28" t="s">
        <v>1915</v>
      </c>
      <c r="I477" s="28" t="s">
        <v>1437</v>
      </c>
      <c r="J477" s="28" t="s">
        <v>1437</v>
      </c>
      <c r="K477" s="28" t="s">
        <v>1916</v>
      </c>
      <c r="L477" s="28" t="s">
        <v>899</v>
      </c>
      <c r="M477" s="28" t="s">
        <v>1345</v>
      </c>
      <c r="N477" s="28"/>
      <c r="O477" s="28"/>
      <c r="P477" s="28"/>
    </row>
    <row r="478" customFormat="false" ht="15" hidden="false" customHeight="false" outlineLevel="0" collapsed="false">
      <c r="A478" s="28" t="s">
        <v>1917</v>
      </c>
      <c r="B478" s="28" t="s">
        <v>877</v>
      </c>
      <c r="C478" s="28" t="s">
        <v>104</v>
      </c>
      <c r="D478" s="28" t="s">
        <v>1910</v>
      </c>
      <c r="E478" s="28" t="s">
        <v>1911</v>
      </c>
      <c r="F478" s="32" t="n">
        <v>5000</v>
      </c>
      <c r="G478" s="28" t="s">
        <v>108</v>
      </c>
      <c r="H478" s="28" t="s">
        <v>1908</v>
      </c>
      <c r="I478" s="28" t="s">
        <v>889</v>
      </c>
      <c r="J478" s="28" t="s">
        <v>1862</v>
      </c>
      <c r="K478" s="28" t="s">
        <v>1855</v>
      </c>
      <c r="L478" s="28" t="s">
        <v>911</v>
      </c>
      <c r="M478" s="28"/>
      <c r="N478" s="28"/>
      <c r="O478" s="28"/>
      <c r="P478" s="28"/>
    </row>
    <row r="479" customFormat="false" ht="15" hidden="false" customHeight="false" outlineLevel="0" collapsed="false">
      <c r="A479" s="28" t="s">
        <v>1918</v>
      </c>
      <c r="B479" s="28" t="s">
        <v>915</v>
      </c>
      <c r="C479" s="28" t="s">
        <v>916</v>
      </c>
      <c r="D479" s="28" t="s">
        <v>1910</v>
      </c>
      <c r="E479" s="28" t="s">
        <v>1911</v>
      </c>
      <c r="F479" s="32" t="n">
        <v>3616</v>
      </c>
      <c r="G479" s="28" t="s">
        <v>108</v>
      </c>
      <c r="H479" s="28" t="s">
        <v>1919</v>
      </c>
      <c r="I479" s="28" t="s">
        <v>881</v>
      </c>
      <c r="J479" s="28" t="s">
        <v>1536</v>
      </c>
      <c r="K479" s="28" t="s">
        <v>1920</v>
      </c>
      <c r="L479" s="28" t="s">
        <v>911</v>
      </c>
      <c r="M479" s="28"/>
      <c r="N479" s="28"/>
      <c r="O479" s="28"/>
      <c r="P479" s="28"/>
    </row>
    <row r="480" customFormat="false" ht="15" hidden="false" customHeight="false" outlineLevel="0" collapsed="false">
      <c r="A480" s="28" t="s">
        <v>1921</v>
      </c>
      <c r="B480" s="28" t="s">
        <v>877</v>
      </c>
      <c r="C480" s="28" t="s">
        <v>104</v>
      </c>
      <c r="D480" s="28" t="s">
        <v>1910</v>
      </c>
      <c r="E480" s="28" t="s">
        <v>1911</v>
      </c>
      <c r="F480" s="32" t="n">
        <v>14757.15</v>
      </c>
      <c r="G480" s="28" t="s">
        <v>108</v>
      </c>
      <c r="H480" s="28" t="s">
        <v>1864</v>
      </c>
      <c r="I480" s="28" t="s">
        <v>881</v>
      </c>
      <c r="J480" s="28" t="s">
        <v>1536</v>
      </c>
      <c r="K480" s="28" t="s">
        <v>1855</v>
      </c>
      <c r="L480" s="28" t="s">
        <v>911</v>
      </c>
      <c r="M480" s="28"/>
      <c r="N480" s="28"/>
      <c r="O480" s="28"/>
      <c r="P480" s="28"/>
    </row>
    <row r="481" customFormat="false" ht="15" hidden="false" customHeight="false" outlineLevel="0" collapsed="false">
      <c r="A481" s="28" t="s">
        <v>1922</v>
      </c>
      <c r="B481" s="28" t="s">
        <v>877</v>
      </c>
      <c r="C481" s="28" t="s">
        <v>104</v>
      </c>
      <c r="D481" s="28" t="s">
        <v>1910</v>
      </c>
      <c r="E481" s="28" t="s">
        <v>1911</v>
      </c>
      <c r="F481" s="32" t="n">
        <v>7500</v>
      </c>
      <c r="G481" s="28" t="s">
        <v>108</v>
      </c>
      <c r="H481" s="28" t="s">
        <v>1923</v>
      </c>
      <c r="I481" s="28" t="s">
        <v>881</v>
      </c>
      <c r="J481" s="28" t="s">
        <v>1536</v>
      </c>
      <c r="K481" s="28" t="s">
        <v>1855</v>
      </c>
      <c r="L481" s="28" t="s">
        <v>911</v>
      </c>
      <c r="M481" s="28"/>
      <c r="N481" s="28"/>
      <c r="O481" s="28"/>
      <c r="P481" s="28"/>
    </row>
    <row r="482" customFormat="false" ht="15" hidden="false" customHeight="false" outlineLevel="0" collapsed="false">
      <c r="A482" s="28" t="s">
        <v>1924</v>
      </c>
      <c r="B482" s="28" t="s">
        <v>919</v>
      </c>
      <c r="C482" s="28" t="s">
        <v>161</v>
      </c>
      <c r="D482" s="28" t="s">
        <v>1910</v>
      </c>
      <c r="E482" s="28" t="s">
        <v>1911</v>
      </c>
      <c r="F482" s="32" t="n">
        <v>7500</v>
      </c>
      <c r="G482" s="28" t="s">
        <v>108</v>
      </c>
      <c r="H482" s="28" t="s">
        <v>1925</v>
      </c>
      <c r="I482" s="28" t="s">
        <v>889</v>
      </c>
      <c r="J482" s="28" t="s">
        <v>1862</v>
      </c>
      <c r="K482" s="28" t="s">
        <v>1849</v>
      </c>
      <c r="L482" s="28" t="s">
        <v>911</v>
      </c>
      <c r="M482" s="28"/>
      <c r="N482" s="28"/>
      <c r="O482" s="28"/>
      <c r="P482" s="28"/>
    </row>
    <row r="483" customFormat="false" ht="15" hidden="false" customHeight="false" outlineLevel="0" collapsed="false">
      <c r="A483" s="28" t="s">
        <v>1926</v>
      </c>
      <c r="B483" s="28" t="s">
        <v>1466</v>
      </c>
      <c r="C483" s="28" t="s">
        <v>1467</v>
      </c>
      <c r="D483" s="28" t="s">
        <v>1910</v>
      </c>
      <c r="E483" s="28" t="s">
        <v>1911</v>
      </c>
      <c r="F483" s="32" t="n">
        <v>-77.64</v>
      </c>
      <c r="G483" s="28" t="s">
        <v>108</v>
      </c>
      <c r="H483" s="28" t="s">
        <v>1927</v>
      </c>
      <c r="I483" s="28" t="s">
        <v>889</v>
      </c>
      <c r="J483" s="28" t="s">
        <v>1862</v>
      </c>
      <c r="K483" s="28" t="s">
        <v>1852</v>
      </c>
      <c r="L483" s="28" t="s">
        <v>911</v>
      </c>
      <c r="M483" s="28"/>
      <c r="N483" s="28"/>
      <c r="O483" s="28"/>
      <c r="P483" s="28"/>
    </row>
    <row r="484" customFormat="false" ht="15" hidden="false" customHeight="false" outlineLevel="0" collapsed="false">
      <c r="A484" s="28" t="s">
        <v>1928</v>
      </c>
      <c r="B484" s="28" t="s">
        <v>1466</v>
      </c>
      <c r="C484" s="28" t="s">
        <v>1467</v>
      </c>
      <c r="D484" s="28" t="s">
        <v>1910</v>
      </c>
      <c r="E484" s="28" t="s">
        <v>1911</v>
      </c>
      <c r="F484" s="32" t="n">
        <v>1545.52</v>
      </c>
      <c r="G484" s="28" t="s">
        <v>108</v>
      </c>
      <c r="H484" s="28" t="s">
        <v>1929</v>
      </c>
      <c r="I484" s="28" t="s">
        <v>889</v>
      </c>
      <c r="J484" s="28" t="s">
        <v>1862</v>
      </c>
      <c r="K484" s="28" t="s">
        <v>1852</v>
      </c>
      <c r="L484" s="28" t="s">
        <v>911</v>
      </c>
      <c r="M484" s="28"/>
      <c r="N484" s="28"/>
      <c r="O484" s="28"/>
      <c r="P484" s="28"/>
    </row>
    <row r="485" customFormat="false" ht="15" hidden="false" customHeight="false" outlineLevel="0" collapsed="false">
      <c r="A485" s="28" t="s">
        <v>1930</v>
      </c>
      <c r="B485" s="28" t="s">
        <v>886</v>
      </c>
      <c r="C485" s="28" t="s">
        <v>887</v>
      </c>
      <c r="D485" s="28" t="s">
        <v>1910</v>
      </c>
      <c r="E485" s="28" t="s">
        <v>1911</v>
      </c>
      <c r="F485" s="32" t="n">
        <v>11265.43</v>
      </c>
      <c r="G485" s="28" t="s">
        <v>108</v>
      </c>
      <c r="H485" s="28" t="s">
        <v>1931</v>
      </c>
      <c r="I485" s="28" t="s">
        <v>881</v>
      </c>
      <c r="J485" s="28" t="s">
        <v>1536</v>
      </c>
      <c r="K485" s="28" t="s">
        <v>1869</v>
      </c>
      <c r="L485" s="28" t="s">
        <v>911</v>
      </c>
      <c r="M485" s="28"/>
      <c r="N485" s="28"/>
      <c r="O485" s="28"/>
      <c r="P485" s="28"/>
    </row>
    <row r="486" customFormat="false" ht="15" hidden="false" customHeight="false" outlineLevel="0" collapsed="false">
      <c r="A486" s="28" t="s">
        <v>1932</v>
      </c>
      <c r="B486" s="28" t="s">
        <v>923</v>
      </c>
      <c r="C486" s="28" t="s">
        <v>924</v>
      </c>
      <c r="D486" s="28" t="s">
        <v>1910</v>
      </c>
      <c r="E486" s="28" t="s">
        <v>1911</v>
      </c>
      <c r="F486" s="32" t="n">
        <v>-160647.92</v>
      </c>
      <c r="G486" s="28" t="s">
        <v>108</v>
      </c>
      <c r="H486" s="28" t="s">
        <v>1933</v>
      </c>
      <c r="I486" s="28" t="s">
        <v>881</v>
      </c>
      <c r="J486" s="28" t="s">
        <v>1536</v>
      </c>
      <c r="K486" s="28" t="s">
        <v>1846</v>
      </c>
      <c r="L486" s="28" t="s">
        <v>911</v>
      </c>
      <c r="M486" s="28"/>
      <c r="N486" s="28"/>
      <c r="O486" s="28"/>
      <c r="P486" s="28"/>
    </row>
    <row r="487" customFormat="false" ht="15" hidden="false" customHeight="false" outlineLevel="0" collapsed="false">
      <c r="A487" s="28" t="s">
        <v>1934</v>
      </c>
      <c r="B487" s="28" t="s">
        <v>905</v>
      </c>
      <c r="C487" s="28" t="s">
        <v>906</v>
      </c>
      <c r="D487" s="28" t="s">
        <v>1910</v>
      </c>
      <c r="E487" s="28" t="s">
        <v>1911</v>
      </c>
      <c r="F487" s="32" t="n">
        <v>99853.41</v>
      </c>
      <c r="G487" s="28" t="s">
        <v>108</v>
      </c>
      <c r="H487" s="28" t="s">
        <v>1935</v>
      </c>
      <c r="I487" s="28" t="s">
        <v>881</v>
      </c>
      <c r="J487" s="28" t="s">
        <v>1536</v>
      </c>
      <c r="K487" s="28" t="s">
        <v>1936</v>
      </c>
      <c r="L487" s="28" t="s">
        <v>911</v>
      </c>
      <c r="M487" s="28"/>
      <c r="N487" s="28"/>
      <c r="O487" s="28"/>
      <c r="P487" s="28"/>
    </row>
    <row r="488" customFormat="false" ht="15" hidden="false" customHeight="false" outlineLevel="0" collapsed="false">
      <c r="A488" s="28" t="s">
        <v>1937</v>
      </c>
      <c r="B488" s="28" t="s">
        <v>886</v>
      </c>
      <c r="C488" s="28" t="s">
        <v>887</v>
      </c>
      <c r="D488" s="28" t="s">
        <v>1910</v>
      </c>
      <c r="E488" s="28" t="s">
        <v>1911</v>
      </c>
      <c r="F488" s="32" t="n">
        <v>4854.51</v>
      </c>
      <c r="G488" s="28" t="s">
        <v>108</v>
      </c>
      <c r="H488" s="28" t="s">
        <v>1938</v>
      </c>
      <c r="I488" s="28" t="s">
        <v>889</v>
      </c>
      <c r="J488" s="28" t="s">
        <v>1862</v>
      </c>
      <c r="K488" s="28" t="s">
        <v>1869</v>
      </c>
      <c r="L488" s="28" t="s">
        <v>911</v>
      </c>
      <c r="M488" s="28"/>
      <c r="N488" s="28"/>
      <c r="O488" s="28"/>
      <c r="P488" s="28"/>
    </row>
    <row r="489" customFormat="false" ht="15" hidden="false" customHeight="false" outlineLevel="0" collapsed="false">
      <c r="A489" s="28" t="s">
        <v>1939</v>
      </c>
      <c r="B489" s="28" t="s">
        <v>923</v>
      </c>
      <c r="C489" s="28" t="s">
        <v>924</v>
      </c>
      <c r="D489" s="28" t="s">
        <v>1910</v>
      </c>
      <c r="E489" s="28" t="s">
        <v>1911</v>
      </c>
      <c r="F489" s="32" t="n">
        <v>18673.26</v>
      </c>
      <c r="G489" s="28" t="s">
        <v>108</v>
      </c>
      <c r="H489" s="28" t="s">
        <v>1940</v>
      </c>
      <c r="I489" s="28" t="s">
        <v>881</v>
      </c>
      <c r="J489" s="28" t="s">
        <v>1536</v>
      </c>
      <c r="K489" s="28" t="s">
        <v>1846</v>
      </c>
      <c r="L489" s="28" t="s">
        <v>911</v>
      </c>
      <c r="M489" s="28"/>
      <c r="N489" s="28"/>
      <c r="O489" s="28"/>
      <c r="P489" s="28"/>
    </row>
    <row r="490" customFormat="false" ht="15" hidden="false" customHeight="false" outlineLevel="0" collapsed="false">
      <c r="A490" s="28" t="s">
        <v>1941</v>
      </c>
      <c r="B490" s="28" t="s">
        <v>877</v>
      </c>
      <c r="C490" s="28" t="s">
        <v>104</v>
      </c>
      <c r="D490" s="28" t="s">
        <v>1910</v>
      </c>
      <c r="E490" s="28" t="s">
        <v>1911</v>
      </c>
      <c r="F490" s="32" t="n">
        <v>21000</v>
      </c>
      <c r="G490" s="28" t="s">
        <v>108</v>
      </c>
      <c r="H490" s="28" t="s">
        <v>1942</v>
      </c>
      <c r="I490" s="28" t="s">
        <v>889</v>
      </c>
      <c r="J490" s="28" t="s">
        <v>1862</v>
      </c>
      <c r="K490" s="28" t="s">
        <v>1855</v>
      </c>
      <c r="L490" s="28" t="s">
        <v>911</v>
      </c>
      <c r="M490" s="28"/>
      <c r="N490" s="28"/>
      <c r="O490" s="28"/>
      <c r="P490" s="28"/>
    </row>
    <row r="491" customFormat="false" ht="15" hidden="false" customHeight="false" outlineLevel="0" collapsed="false">
      <c r="A491" s="28" t="s">
        <v>1943</v>
      </c>
      <c r="B491" s="28" t="s">
        <v>877</v>
      </c>
      <c r="C491" s="28" t="s">
        <v>104</v>
      </c>
      <c r="D491" s="28" t="s">
        <v>1910</v>
      </c>
      <c r="E491" s="28" t="s">
        <v>1911</v>
      </c>
      <c r="F491" s="32" t="n">
        <v>-0.7</v>
      </c>
      <c r="G491" s="28" t="s">
        <v>108</v>
      </c>
      <c r="H491" s="28" t="s">
        <v>1944</v>
      </c>
      <c r="I491" s="28" t="s">
        <v>881</v>
      </c>
      <c r="J491" s="28" t="s">
        <v>1536</v>
      </c>
      <c r="K491" s="28" t="s">
        <v>1855</v>
      </c>
      <c r="L491" s="28" t="s">
        <v>911</v>
      </c>
      <c r="M491" s="28"/>
      <c r="N491" s="28"/>
      <c r="O491" s="28"/>
      <c r="P491" s="28"/>
    </row>
    <row r="492" customFormat="false" ht="15" hidden="false" customHeight="false" outlineLevel="0" collapsed="false">
      <c r="A492" s="28" t="s">
        <v>1945</v>
      </c>
      <c r="B492" s="28" t="s">
        <v>886</v>
      </c>
      <c r="C492" s="28" t="s">
        <v>887</v>
      </c>
      <c r="D492" s="28" t="s">
        <v>1910</v>
      </c>
      <c r="E492" s="28" t="s">
        <v>1911</v>
      </c>
      <c r="F492" s="32" t="n">
        <v>12719.04</v>
      </c>
      <c r="G492" s="28" t="s">
        <v>108</v>
      </c>
      <c r="H492" s="28" t="s">
        <v>1946</v>
      </c>
      <c r="I492" s="28" t="s">
        <v>881</v>
      </c>
      <c r="J492" s="28" t="s">
        <v>1536</v>
      </c>
      <c r="K492" s="28" t="s">
        <v>1869</v>
      </c>
      <c r="L492" s="28" t="s">
        <v>911</v>
      </c>
      <c r="M492" s="28"/>
      <c r="N492" s="28"/>
      <c r="O492" s="28"/>
      <c r="P492" s="28"/>
    </row>
    <row r="493" customFormat="false" ht="15" hidden="false" customHeight="false" outlineLevel="0" collapsed="false">
      <c r="A493" s="28" t="s">
        <v>1947</v>
      </c>
      <c r="B493" s="28" t="s">
        <v>919</v>
      </c>
      <c r="C493" s="28" t="s">
        <v>161</v>
      </c>
      <c r="D493" s="28" t="s">
        <v>1910</v>
      </c>
      <c r="E493" s="28" t="s">
        <v>1911</v>
      </c>
      <c r="F493" s="32" t="n">
        <v>-0.35</v>
      </c>
      <c r="G493" s="28" t="s">
        <v>108</v>
      </c>
      <c r="H493" s="28" t="s">
        <v>1948</v>
      </c>
      <c r="I493" s="28" t="s">
        <v>881</v>
      </c>
      <c r="J493" s="28" t="s">
        <v>1536</v>
      </c>
      <c r="K493" s="28" t="s">
        <v>1849</v>
      </c>
      <c r="L493" s="28" t="s">
        <v>911</v>
      </c>
      <c r="M493" s="28"/>
      <c r="N493" s="28"/>
      <c r="O493" s="28"/>
      <c r="P493" s="28"/>
    </row>
    <row r="494" customFormat="false" ht="15" hidden="false" customHeight="false" outlineLevel="0" collapsed="false">
      <c r="A494" s="28" t="s">
        <v>1949</v>
      </c>
      <c r="B494" s="28" t="s">
        <v>886</v>
      </c>
      <c r="C494" s="28" t="s">
        <v>887</v>
      </c>
      <c r="D494" s="28" t="s">
        <v>1910</v>
      </c>
      <c r="E494" s="28" t="s">
        <v>1911</v>
      </c>
      <c r="F494" s="32" t="n">
        <v>14964.44</v>
      </c>
      <c r="G494" s="28" t="s">
        <v>108</v>
      </c>
      <c r="H494" s="28" t="s">
        <v>1950</v>
      </c>
      <c r="I494" s="28" t="s">
        <v>881</v>
      </c>
      <c r="J494" s="28" t="s">
        <v>1536</v>
      </c>
      <c r="K494" s="28" t="s">
        <v>1869</v>
      </c>
      <c r="L494" s="28" t="s">
        <v>911</v>
      </c>
      <c r="M494" s="28"/>
      <c r="N494" s="28"/>
      <c r="O494" s="28"/>
      <c r="P494" s="28"/>
    </row>
    <row r="495" customFormat="false" ht="15" hidden="false" customHeight="false" outlineLevel="0" collapsed="false">
      <c r="A495" s="28" t="s">
        <v>1951</v>
      </c>
      <c r="B495" s="28" t="s">
        <v>923</v>
      </c>
      <c r="C495" s="28" t="s">
        <v>924</v>
      </c>
      <c r="D495" s="28" t="s">
        <v>1910</v>
      </c>
      <c r="E495" s="28" t="s">
        <v>1911</v>
      </c>
      <c r="F495" s="32" t="n">
        <v>160647.92</v>
      </c>
      <c r="G495" s="28" t="s">
        <v>108</v>
      </c>
      <c r="H495" s="28" t="s">
        <v>1952</v>
      </c>
      <c r="I495" s="28" t="s">
        <v>881</v>
      </c>
      <c r="J495" s="28" t="s">
        <v>1536</v>
      </c>
      <c r="K495" s="28" t="s">
        <v>1846</v>
      </c>
      <c r="L495" s="28" t="s">
        <v>911</v>
      </c>
      <c r="M495" s="28"/>
      <c r="N495" s="28"/>
      <c r="O495" s="28"/>
      <c r="P495" s="28"/>
    </row>
    <row r="496" customFormat="false" ht="15" hidden="false" customHeight="false" outlineLevel="0" collapsed="false">
      <c r="A496" s="28" t="s">
        <v>1953</v>
      </c>
      <c r="B496" s="28" t="s">
        <v>886</v>
      </c>
      <c r="C496" s="28" t="s">
        <v>887</v>
      </c>
      <c r="D496" s="28" t="s">
        <v>1910</v>
      </c>
      <c r="E496" s="28" t="s">
        <v>1911</v>
      </c>
      <c r="F496" s="32" t="n">
        <v>33688.19</v>
      </c>
      <c r="G496" s="28" t="s">
        <v>108</v>
      </c>
      <c r="H496" s="28" t="s">
        <v>1954</v>
      </c>
      <c r="I496" s="28" t="s">
        <v>881</v>
      </c>
      <c r="J496" s="28" t="s">
        <v>1536</v>
      </c>
      <c r="K496" s="28" t="s">
        <v>1869</v>
      </c>
      <c r="L496" s="28" t="s">
        <v>911</v>
      </c>
      <c r="M496" s="28"/>
      <c r="N496" s="28"/>
      <c r="O496" s="28"/>
      <c r="P496" s="28"/>
    </row>
    <row r="497" customFormat="false" ht="15" hidden="false" customHeight="false" outlineLevel="0" collapsed="false">
      <c r="A497" s="28" t="s">
        <v>1955</v>
      </c>
      <c r="B497" s="28" t="s">
        <v>1466</v>
      </c>
      <c r="C497" s="28" t="s">
        <v>1467</v>
      </c>
      <c r="D497" s="28" t="s">
        <v>1910</v>
      </c>
      <c r="E497" s="28" t="s">
        <v>1911</v>
      </c>
      <c r="F497" s="32" t="n">
        <v>13711.06</v>
      </c>
      <c r="G497" s="28" t="s">
        <v>108</v>
      </c>
      <c r="H497" s="28" t="s">
        <v>1956</v>
      </c>
      <c r="I497" s="28" t="s">
        <v>889</v>
      </c>
      <c r="J497" s="28" t="s">
        <v>1862</v>
      </c>
      <c r="K497" s="28" t="s">
        <v>1852</v>
      </c>
      <c r="L497" s="28" t="s">
        <v>911</v>
      </c>
      <c r="M497" s="28"/>
      <c r="N497" s="28"/>
      <c r="O497" s="28"/>
      <c r="P497" s="28"/>
    </row>
    <row r="498" customFormat="false" ht="15" hidden="false" customHeight="false" outlineLevel="0" collapsed="false">
      <c r="A498" s="28" t="s">
        <v>1957</v>
      </c>
      <c r="B498" s="28" t="s">
        <v>905</v>
      </c>
      <c r="C498" s="28" t="s">
        <v>906</v>
      </c>
      <c r="D498" s="28" t="s">
        <v>1910</v>
      </c>
      <c r="E498" s="28" t="s">
        <v>1911</v>
      </c>
      <c r="F498" s="32" t="n">
        <v>1808</v>
      </c>
      <c r="G498" s="28" t="s">
        <v>108</v>
      </c>
      <c r="H498" s="28" t="s">
        <v>1958</v>
      </c>
      <c r="I498" s="28" t="s">
        <v>881</v>
      </c>
      <c r="J498" s="28" t="s">
        <v>1536</v>
      </c>
      <c r="K498" s="28" t="s">
        <v>1936</v>
      </c>
      <c r="L498" s="28" t="s">
        <v>911</v>
      </c>
      <c r="M498" s="28"/>
      <c r="N498" s="28"/>
      <c r="O498" s="28"/>
      <c r="P498" s="28"/>
    </row>
    <row r="499" customFormat="false" ht="15" hidden="false" customHeight="false" outlineLevel="0" collapsed="false">
      <c r="A499" s="28" t="s">
        <v>1959</v>
      </c>
      <c r="B499" s="28" t="s">
        <v>886</v>
      </c>
      <c r="C499" s="28" t="s">
        <v>887</v>
      </c>
      <c r="D499" s="28" t="s">
        <v>1910</v>
      </c>
      <c r="E499" s="28" t="s">
        <v>1911</v>
      </c>
      <c r="F499" s="32" t="n">
        <v>10907.01</v>
      </c>
      <c r="G499" s="28" t="s">
        <v>108</v>
      </c>
      <c r="H499" s="28" t="s">
        <v>1960</v>
      </c>
      <c r="I499" s="28" t="s">
        <v>881</v>
      </c>
      <c r="J499" s="28" t="s">
        <v>1536</v>
      </c>
      <c r="K499" s="28" t="s">
        <v>1869</v>
      </c>
      <c r="L499" s="28" t="s">
        <v>911</v>
      </c>
      <c r="M499" s="28"/>
      <c r="N499" s="28"/>
      <c r="O499" s="28"/>
      <c r="P499" s="28"/>
    </row>
    <row r="500" customFormat="false" ht="15" hidden="false" customHeight="false" outlineLevel="0" collapsed="false">
      <c r="A500" s="28" t="s">
        <v>1961</v>
      </c>
      <c r="B500" s="28" t="s">
        <v>877</v>
      </c>
      <c r="C500" s="28" t="s">
        <v>104</v>
      </c>
      <c r="D500" s="28" t="s">
        <v>1910</v>
      </c>
      <c r="E500" s="28" t="s">
        <v>1911</v>
      </c>
      <c r="F500" s="32" t="n">
        <v>1808</v>
      </c>
      <c r="G500" s="28" t="s">
        <v>108</v>
      </c>
      <c r="H500" s="28" t="s">
        <v>1859</v>
      </c>
      <c r="I500" s="28" t="s">
        <v>881</v>
      </c>
      <c r="J500" s="28" t="s">
        <v>1536</v>
      </c>
      <c r="K500" s="28" t="s">
        <v>1855</v>
      </c>
      <c r="L500" s="28" t="s">
        <v>911</v>
      </c>
      <c r="M500" s="28"/>
      <c r="N500" s="28"/>
      <c r="O500" s="28"/>
      <c r="P500" s="28"/>
    </row>
    <row r="501" customFormat="false" ht="15" hidden="false" customHeight="false" outlineLevel="0" collapsed="false">
      <c r="A501" s="28" t="s">
        <v>1962</v>
      </c>
      <c r="B501" s="28" t="s">
        <v>877</v>
      </c>
      <c r="C501" s="28" t="s">
        <v>104</v>
      </c>
      <c r="D501" s="28" t="s">
        <v>1910</v>
      </c>
      <c r="E501" s="28" t="s">
        <v>1911</v>
      </c>
      <c r="F501" s="32" t="n">
        <v>16000</v>
      </c>
      <c r="G501" s="28" t="s">
        <v>108</v>
      </c>
      <c r="H501" s="28" t="s">
        <v>1963</v>
      </c>
      <c r="I501" s="28" t="s">
        <v>889</v>
      </c>
      <c r="J501" s="28" t="s">
        <v>1862</v>
      </c>
      <c r="K501" s="28" t="s">
        <v>1855</v>
      </c>
      <c r="L501" s="28" t="s">
        <v>911</v>
      </c>
      <c r="M501" s="28"/>
      <c r="N501" s="28"/>
      <c r="O501" s="28"/>
      <c r="P501" s="28"/>
    </row>
    <row r="502" customFormat="false" ht="15" hidden="false" customHeight="false" outlineLevel="0" collapsed="false">
      <c r="A502" s="28" t="s">
        <v>1964</v>
      </c>
      <c r="B502" s="28" t="s">
        <v>886</v>
      </c>
      <c r="C502" s="28" t="s">
        <v>887</v>
      </c>
      <c r="D502" s="28" t="s">
        <v>1910</v>
      </c>
      <c r="E502" s="28" t="s">
        <v>1911</v>
      </c>
      <c r="F502" s="32" t="n">
        <v>2757.5</v>
      </c>
      <c r="G502" s="28" t="s">
        <v>108</v>
      </c>
      <c r="H502" s="28" t="s">
        <v>1906</v>
      </c>
      <c r="I502" s="28" t="s">
        <v>881</v>
      </c>
      <c r="J502" s="28" t="s">
        <v>1536</v>
      </c>
      <c r="K502" s="28" t="s">
        <v>1869</v>
      </c>
      <c r="L502" s="28" t="s">
        <v>911</v>
      </c>
      <c r="M502" s="28"/>
      <c r="N502" s="28"/>
      <c r="O502" s="28"/>
      <c r="P502" s="28"/>
    </row>
    <row r="503" customFormat="false" ht="15" hidden="false" customHeight="false" outlineLevel="0" collapsed="false">
      <c r="A503" s="28" t="s">
        <v>1965</v>
      </c>
      <c r="B503" s="28" t="s">
        <v>923</v>
      </c>
      <c r="C503" s="28" t="s">
        <v>924</v>
      </c>
      <c r="D503" s="28" t="s">
        <v>1910</v>
      </c>
      <c r="E503" s="28" t="s">
        <v>1911</v>
      </c>
      <c r="F503" s="32" t="n">
        <v>5334.94</v>
      </c>
      <c r="G503" s="28" t="s">
        <v>108</v>
      </c>
      <c r="H503" s="28" t="s">
        <v>1966</v>
      </c>
      <c r="I503" s="28" t="s">
        <v>889</v>
      </c>
      <c r="J503" s="28" t="s">
        <v>1862</v>
      </c>
      <c r="K503" s="28" t="s">
        <v>1846</v>
      </c>
      <c r="L503" s="28" t="s">
        <v>911</v>
      </c>
      <c r="M503" s="28"/>
      <c r="N503" s="28"/>
      <c r="O503" s="28"/>
      <c r="P503" s="28"/>
    </row>
    <row r="504" customFormat="false" ht="15" hidden="false" customHeight="false" outlineLevel="0" collapsed="false">
      <c r="A504" s="28" t="s">
        <v>1967</v>
      </c>
      <c r="B504" s="28" t="s">
        <v>886</v>
      </c>
      <c r="C504" s="28" t="s">
        <v>887</v>
      </c>
      <c r="D504" s="28" t="s">
        <v>1910</v>
      </c>
      <c r="E504" s="28" t="s">
        <v>1911</v>
      </c>
      <c r="F504" s="32" t="n">
        <v>-4.53</v>
      </c>
      <c r="G504" s="28" t="s">
        <v>108</v>
      </c>
      <c r="H504" s="28" t="s">
        <v>1968</v>
      </c>
      <c r="I504" s="28" t="s">
        <v>881</v>
      </c>
      <c r="J504" s="28" t="s">
        <v>1536</v>
      </c>
      <c r="K504" s="28" t="s">
        <v>1869</v>
      </c>
      <c r="L504" s="28" t="s">
        <v>911</v>
      </c>
      <c r="M504" s="28"/>
      <c r="N504" s="28"/>
      <c r="O504" s="28"/>
      <c r="P504" s="28"/>
    </row>
    <row r="505" customFormat="false" ht="15" hidden="false" customHeight="false" outlineLevel="0" collapsed="false">
      <c r="A505" s="28" t="s">
        <v>1969</v>
      </c>
      <c r="B505" s="28" t="s">
        <v>923</v>
      </c>
      <c r="C505" s="28" t="s">
        <v>924</v>
      </c>
      <c r="D505" s="28" t="s">
        <v>1910</v>
      </c>
      <c r="E505" s="28" t="s">
        <v>1911</v>
      </c>
      <c r="F505" s="32" t="n">
        <v>39220.15</v>
      </c>
      <c r="G505" s="28" t="s">
        <v>108</v>
      </c>
      <c r="H505" s="28" t="s">
        <v>1970</v>
      </c>
      <c r="I505" s="28" t="s">
        <v>889</v>
      </c>
      <c r="J505" s="28" t="s">
        <v>1862</v>
      </c>
      <c r="K505" s="28" t="s">
        <v>1846</v>
      </c>
      <c r="L505" s="28" t="s">
        <v>911</v>
      </c>
      <c r="M505" s="28"/>
      <c r="N505" s="28"/>
      <c r="O505" s="28"/>
      <c r="P505" s="28"/>
    </row>
    <row r="506" customFormat="false" ht="15" hidden="false" customHeight="false" outlineLevel="0" collapsed="false">
      <c r="A506" s="28" t="s">
        <v>1971</v>
      </c>
      <c r="B506" s="28" t="s">
        <v>1466</v>
      </c>
      <c r="C506" s="28" t="s">
        <v>1467</v>
      </c>
      <c r="D506" s="28" t="s">
        <v>1910</v>
      </c>
      <c r="E506" s="28" t="s">
        <v>1911</v>
      </c>
      <c r="F506" s="32" t="n">
        <v>7601.24</v>
      </c>
      <c r="G506" s="28" t="s">
        <v>108</v>
      </c>
      <c r="H506" s="28" t="s">
        <v>1972</v>
      </c>
      <c r="I506" s="28" t="s">
        <v>889</v>
      </c>
      <c r="J506" s="28" t="s">
        <v>1862</v>
      </c>
      <c r="K506" s="28" t="s">
        <v>1852</v>
      </c>
      <c r="L506" s="28" t="s">
        <v>911</v>
      </c>
      <c r="M506" s="28"/>
      <c r="N506" s="28"/>
      <c r="O506" s="28"/>
      <c r="P506" s="28"/>
    </row>
    <row r="507" customFormat="false" ht="15" hidden="false" customHeight="false" outlineLevel="0" collapsed="false">
      <c r="A507" s="28" t="s">
        <v>1973</v>
      </c>
      <c r="B507" s="28" t="s">
        <v>877</v>
      </c>
      <c r="C507" s="28" t="s">
        <v>104</v>
      </c>
      <c r="D507" s="28" t="s">
        <v>1910</v>
      </c>
      <c r="E507" s="28" t="s">
        <v>1911</v>
      </c>
      <c r="F507" s="32" t="n">
        <v>2000</v>
      </c>
      <c r="G507" s="28" t="s">
        <v>108</v>
      </c>
      <c r="H507" s="28" t="s">
        <v>1974</v>
      </c>
      <c r="I507" s="28" t="s">
        <v>889</v>
      </c>
      <c r="J507" s="28" t="s">
        <v>1862</v>
      </c>
      <c r="K507" s="28" t="s">
        <v>1855</v>
      </c>
      <c r="L507" s="28" t="s">
        <v>911</v>
      </c>
      <c r="M507" s="28"/>
      <c r="N507" s="28"/>
      <c r="O507" s="28"/>
      <c r="P507" s="28"/>
    </row>
    <row r="508" customFormat="false" ht="15" hidden="false" customHeight="false" outlineLevel="0" collapsed="false">
      <c r="A508" s="28" t="s">
        <v>1975</v>
      </c>
      <c r="B508" s="28" t="s">
        <v>886</v>
      </c>
      <c r="C508" s="28" t="s">
        <v>887</v>
      </c>
      <c r="D508" s="28" t="s">
        <v>1910</v>
      </c>
      <c r="E508" s="28" t="s">
        <v>1911</v>
      </c>
      <c r="F508" s="32" t="n">
        <v>8.74</v>
      </c>
      <c r="G508" s="28" t="s">
        <v>108</v>
      </c>
      <c r="H508" s="28" t="s">
        <v>1875</v>
      </c>
      <c r="I508" s="28" t="s">
        <v>889</v>
      </c>
      <c r="J508" s="28" t="s">
        <v>1862</v>
      </c>
      <c r="K508" s="28" t="s">
        <v>1869</v>
      </c>
      <c r="L508" s="28" t="s">
        <v>911</v>
      </c>
      <c r="M508" s="28"/>
      <c r="N508" s="28"/>
      <c r="O508" s="28"/>
      <c r="P508" s="28"/>
    </row>
    <row r="509" customFormat="false" ht="15" hidden="false" customHeight="false" outlineLevel="0" collapsed="false">
      <c r="A509" s="28" t="s">
        <v>1976</v>
      </c>
      <c r="B509" s="28" t="s">
        <v>886</v>
      </c>
      <c r="C509" s="28" t="s">
        <v>887</v>
      </c>
      <c r="D509" s="28" t="s">
        <v>1910</v>
      </c>
      <c r="E509" s="28" t="s">
        <v>1911</v>
      </c>
      <c r="F509" s="32" t="n">
        <v>567</v>
      </c>
      <c r="G509" s="28" t="s">
        <v>108</v>
      </c>
      <c r="H509" s="28" t="s">
        <v>1977</v>
      </c>
      <c r="I509" s="28" t="s">
        <v>881</v>
      </c>
      <c r="J509" s="28" t="s">
        <v>1536</v>
      </c>
      <c r="K509" s="28" t="s">
        <v>1869</v>
      </c>
      <c r="L509" s="28" t="s">
        <v>911</v>
      </c>
      <c r="M509" s="28"/>
      <c r="N509" s="28"/>
      <c r="O509" s="28"/>
      <c r="P509" s="28"/>
    </row>
    <row r="510" customFormat="false" ht="15" hidden="false" customHeight="false" outlineLevel="0" collapsed="false">
      <c r="A510" s="28" t="s">
        <v>1978</v>
      </c>
      <c r="B510" s="28" t="s">
        <v>886</v>
      </c>
      <c r="C510" s="28" t="s">
        <v>887</v>
      </c>
      <c r="D510" s="28" t="s">
        <v>1910</v>
      </c>
      <c r="E510" s="28" t="s">
        <v>1911</v>
      </c>
      <c r="F510" s="32" t="n">
        <v>20.28</v>
      </c>
      <c r="G510" s="28" t="s">
        <v>108</v>
      </c>
      <c r="H510" s="28" t="s">
        <v>1868</v>
      </c>
      <c r="I510" s="28" t="s">
        <v>881</v>
      </c>
      <c r="J510" s="28" t="s">
        <v>1536</v>
      </c>
      <c r="K510" s="28" t="s">
        <v>1869</v>
      </c>
      <c r="L510" s="28" t="s">
        <v>911</v>
      </c>
      <c r="M510" s="28"/>
      <c r="N510" s="28"/>
      <c r="O510" s="28"/>
      <c r="P510" s="28"/>
    </row>
    <row r="511" customFormat="false" ht="15" hidden="false" customHeight="false" outlineLevel="0" collapsed="false">
      <c r="A511" s="28" t="s">
        <v>1979</v>
      </c>
      <c r="B511" s="28" t="s">
        <v>1466</v>
      </c>
      <c r="C511" s="28" t="s">
        <v>1467</v>
      </c>
      <c r="D511" s="28" t="s">
        <v>1980</v>
      </c>
      <c r="E511" s="28" t="s">
        <v>1367</v>
      </c>
      <c r="F511" s="32" t="n">
        <v>60500</v>
      </c>
      <c r="G511" s="28" t="s">
        <v>108</v>
      </c>
      <c r="H511" s="28" t="s">
        <v>1981</v>
      </c>
      <c r="I511" s="28" t="s">
        <v>1278</v>
      </c>
      <c r="J511" s="28" t="s">
        <v>1278</v>
      </c>
      <c r="K511" s="28" t="s">
        <v>1982</v>
      </c>
      <c r="L511" s="28" t="s">
        <v>899</v>
      </c>
      <c r="M511" s="28" t="s">
        <v>1370</v>
      </c>
      <c r="N511" s="28" t="s">
        <v>1983</v>
      </c>
      <c r="O511" s="28" t="s">
        <v>1822</v>
      </c>
      <c r="P511" s="28"/>
    </row>
    <row r="512" customFormat="false" ht="15" hidden="false" customHeight="false" outlineLevel="0" collapsed="false">
      <c r="A512" s="28" t="s">
        <v>1984</v>
      </c>
      <c r="B512" s="28" t="s">
        <v>1466</v>
      </c>
      <c r="C512" s="28" t="s">
        <v>1467</v>
      </c>
      <c r="D512" s="28" t="s">
        <v>1980</v>
      </c>
      <c r="E512" s="28" t="s">
        <v>1367</v>
      </c>
      <c r="F512" s="32" t="n">
        <v>28634.08</v>
      </c>
      <c r="G512" s="28" t="s">
        <v>108</v>
      </c>
      <c r="H512" s="28" t="s">
        <v>1985</v>
      </c>
      <c r="I512" s="28" t="s">
        <v>1278</v>
      </c>
      <c r="J512" s="28" t="s">
        <v>1278</v>
      </c>
      <c r="K512" s="28" t="s">
        <v>1986</v>
      </c>
      <c r="L512" s="28" t="s">
        <v>899</v>
      </c>
      <c r="M512" s="28" t="s">
        <v>1370</v>
      </c>
      <c r="N512" s="28" t="s">
        <v>1987</v>
      </c>
      <c r="O512" s="28" t="s">
        <v>1988</v>
      </c>
      <c r="P512" s="28"/>
    </row>
    <row r="513" customFormat="false" ht="15" hidden="false" customHeight="false" outlineLevel="0" collapsed="false">
      <c r="A513" s="28" t="s">
        <v>1989</v>
      </c>
      <c r="B513" s="28" t="s">
        <v>1466</v>
      </c>
      <c r="C513" s="28" t="s">
        <v>1467</v>
      </c>
      <c r="D513" s="28" t="s">
        <v>1980</v>
      </c>
      <c r="E513" s="28" t="s">
        <v>1367</v>
      </c>
      <c r="F513" s="32" t="n">
        <v>28634.08</v>
      </c>
      <c r="G513" s="28" t="s">
        <v>108</v>
      </c>
      <c r="H513" s="28" t="s">
        <v>1990</v>
      </c>
      <c r="I513" s="28" t="s">
        <v>1337</v>
      </c>
      <c r="J513" s="28" t="s">
        <v>1337</v>
      </c>
      <c r="K513" s="28" t="s">
        <v>1986</v>
      </c>
      <c r="L513" s="28" t="s">
        <v>899</v>
      </c>
      <c r="M513" s="28" t="s">
        <v>1370</v>
      </c>
      <c r="N513" s="28" t="s">
        <v>1987</v>
      </c>
      <c r="O513" s="28" t="s">
        <v>1988</v>
      </c>
      <c r="P513" s="28"/>
    </row>
    <row r="514" customFormat="false" ht="15" hidden="false" customHeight="false" outlineLevel="0" collapsed="false">
      <c r="A514" s="28" t="s">
        <v>1991</v>
      </c>
      <c r="B514" s="28" t="s">
        <v>1466</v>
      </c>
      <c r="C514" s="28" t="s">
        <v>1467</v>
      </c>
      <c r="D514" s="28" t="s">
        <v>1980</v>
      </c>
      <c r="E514" s="28" t="s">
        <v>1367</v>
      </c>
      <c r="F514" s="32" t="n">
        <v>60500</v>
      </c>
      <c r="G514" s="28" t="s">
        <v>108</v>
      </c>
      <c r="H514" s="28" t="s">
        <v>1992</v>
      </c>
      <c r="I514" s="28" t="s">
        <v>1337</v>
      </c>
      <c r="J514" s="28" t="s">
        <v>1337</v>
      </c>
      <c r="K514" s="28" t="s">
        <v>1982</v>
      </c>
      <c r="L514" s="28" t="s">
        <v>899</v>
      </c>
      <c r="M514" s="28" t="s">
        <v>1370</v>
      </c>
      <c r="N514" s="28" t="s">
        <v>1983</v>
      </c>
      <c r="O514" s="28" t="s">
        <v>1822</v>
      </c>
      <c r="P514" s="28"/>
    </row>
    <row r="515" customFormat="false" ht="15" hidden="false" customHeight="false" outlineLevel="0" collapsed="false">
      <c r="A515" s="28" t="s">
        <v>1993</v>
      </c>
      <c r="B515" s="28" t="s">
        <v>1466</v>
      </c>
      <c r="C515" s="28" t="s">
        <v>1467</v>
      </c>
      <c r="D515" s="28" t="s">
        <v>1980</v>
      </c>
      <c r="E515" s="28" t="s">
        <v>1367</v>
      </c>
      <c r="F515" s="32" t="n">
        <v>8066.65</v>
      </c>
      <c r="G515" s="28" t="s">
        <v>108</v>
      </c>
      <c r="H515" s="28" t="s">
        <v>1994</v>
      </c>
      <c r="I515" s="28" t="s">
        <v>1278</v>
      </c>
      <c r="J515" s="28" t="s">
        <v>1278</v>
      </c>
      <c r="K515" s="28" t="s">
        <v>1982</v>
      </c>
      <c r="L515" s="28" t="s">
        <v>899</v>
      </c>
      <c r="M515" s="28" t="s">
        <v>1370</v>
      </c>
      <c r="N515" s="28" t="s">
        <v>1983</v>
      </c>
      <c r="O515" s="28" t="s">
        <v>1822</v>
      </c>
      <c r="P515" s="28"/>
    </row>
    <row r="516" customFormat="false" ht="15" hidden="false" customHeight="false" outlineLevel="0" collapsed="false">
      <c r="A516" s="28" t="s">
        <v>1995</v>
      </c>
      <c r="B516" s="28" t="s">
        <v>1476</v>
      </c>
      <c r="C516" s="28" t="s">
        <v>1477</v>
      </c>
      <c r="D516" s="28" t="s">
        <v>1996</v>
      </c>
      <c r="E516" s="28" t="s">
        <v>1377</v>
      </c>
      <c r="F516" s="32" t="n">
        <v>10740.33</v>
      </c>
      <c r="G516" s="28" t="s">
        <v>108</v>
      </c>
      <c r="H516" s="28" t="s">
        <v>1381</v>
      </c>
      <c r="I516" s="28" t="s">
        <v>889</v>
      </c>
      <c r="J516" s="28" t="s">
        <v>889</v>
      </c>
      <c r="K516" s="28" t="s">
        <v>1379</v>
      </c>
      <c r="L516" s="28" t="s">
        <v>1058</v>
      </c>
      <c r="M516" s="28"/>
      <c r="N516" s="28"/>
      <c r="O516" s="28"/>
      <c r="P516" s="28"/>
    </row>
    <row r="517" customFormat="false" ht="15" hidden="false" customHeight="false" outlineLevel="0" collapsed="false">
      <c r="A517" s="28" t="s">
        <v>1997</v>
      </c>
      <c r="B517" s="28" t="s">
        <v>1476</v>
      </c>
      <c r="C517" s="28" t="s">
        <v>1477</v>
      </c>
      <c r="D517" s="28" t="s">
        <v>1996</v>
      </c>
      <c r="E517" s="28" t="s">
        <v>1377</v>
      </c>
      <c r="F517" s="32" t="n">
        <v>11891.08</v>
      </c>
      <c r="G517" s="28" t="s">
        <v>108</v>
      </c>
      <c r="H517" s="28" t="s">
        <v>1378</v>
      </c>
      <c r="I517" s="28" t="s">
        <v>881</v>
      </c>
      <c r="J517" s="28" t="s">
        <v>881</v>
      </c>
      <c r="K517" s="28" t="s">
        <v>1379</v>
      </c>
      <c r="L517" s="28" t="s">
        <v>1058</v>
      </c>
      <c r="M517" s="28"/>
      <c r="N517" s="28"/>
      <c r="O517" s="28"/>
      <c r="P517" s="28"/>
    </row>
    <row r="518" customFormat="false" ht="15" hidden="false" customHeight="false" outlineLevel="0" collapsed="false">
      <c r="A518" s="28" t="s">
        <v>1998</v>
      </c>
      <c r="B518" s="28" t="s">
        <v>1476</v>
      </c>
      <c r="C518" s="28" t="s">
        <v>1477</v>
      </c>
      <c r="D518" s="28" t="s">
        <v>1999</v>
      </c>
      <c r="E518" s="28" t="s">
        <v>1402</v>
      </c>
      <c r="F518" s="32" t="n">
        <v>16261.85</v>
      </c>
      <c r="G518" s="28" t="s">
        <v>108</v>
      </c>
      <c r="H518" s="28" t="s">
        <v>1399</v>
      </c>
      <c r="I518" s="28" t="s">
        <v>889</v>
      </c>
      <c r="J518" s="28" t="s">
        <v>889</v>
      </c>
      <c r="K518" s="28" t="s">
        <v>1403</v>
      </c>
      <c r="L518" s="28" t="s">
        <v>1058</v>
      </c>
      <c r="M518" s="28"/>
      <c r="N518" s="28"/>
      <c r="O518" s="28"/>
      <c r="P518" s="28"/>
    </row>
    <row r="519" customFormat="false" ht="15" hidden="false" customHeight="false" outlineLevel="0" collapsed="false">
      <c r="A519" s="28" t="s">
        <v>2000</v>
      </c>
      <c r="B519" s="28" t="s">
        <v>1476</v>
      </c>
      <c r="C519" s="28" t="s">
        <v>1477</v>
      </c>
      <c r="D519" s="28" t="s">
        <v>1999</v>
      </c>
      <c r="E519" s="28" t="s">
        <v>1402</v>
      </c>
      <c r="F519" s="32" t="n">
        <v>18004.19</v>
      </c>
      <c r="G519" s="28" t="s">
        <v>108</v>
      </c>
      <c r="H519" s="28" t="s">
        <v>1350</v>
      </c>
      <c r="I519" s="28" t="s">
        <v>881</v>
      </c>
      <c r="J519" s="28" t="s">
        <v>881</v>
      </c>
      <c r="K519" s="28" t="s">
        <v>1403</v>
      </c>
      <c r="L519" s="28" t="s">
        <v>1058</v>
      </c>
      <c r="M519" s="28"/>
      <c r="N519" s="28"/>
      <c r="O519" s="28"/>
      <c r="P519" s="28"/>
    </row>
    <row r="520" customFormat="false" ht="15" hidden="false" customHeight="false" outlineLevel="0" collapsed="false">
      <c r="A520" s="28" t="s">
        <v>2001</v>
      </c>
      <c r="B520" s="28" t="s">
        <v>1466</v>
      </c>
      <c r="C520" s="28" t="s">
        <v>1467</v>
      </c>
      <c r="D520" s="28" t="s">
        <v>2002</v>
      </c>
      <c r="E520" s="28" t="s">
        <v>1413</v>
      </c>
      <c r="F520" s="32" t="n">
        <v>2558.34</v>
      </c>
      <c r="G520" s="28" t="s">
        <v>108</v>
      </c>
      <c r="H520" s="28" t="s">
        <v>1424</v>
      </c>
      <c r="I520" s="28" t="s">
        <v>1425</v>
      </c>
      <c r="J520" s="28" t="s">
        <v>1425</v>
      </c>
      <c r="K520" s="28" t="s">
        <v>1426</v>
      </c>
      <c r="L520" s="28" t="s">
        <v>899</v>
      </c>
      <c r="M520" s="28" t="s">
        <v>1416</v>
      </c>
      <c r="N520" s="28" t="s">
        <v>1987</v>
      </c>
      <c r="O520" s="28" t="s">
        <v>1988</v>
      </c>
      <c r="P520" s="28"/>
    </row>
    <row r="521" customFormat="false" ht="15" hidden="false" customHeight="false" outlineLevel="0" collapsed="false">
      <c r="A521" s="28" t="s">
        <v>2003</v>
      </c>
      <c r="B521" s="28" t="s">
        <v>1466</v>
      </c>
      <c r="C521" s="28" t="s">
        <v>1467</v>
      </c>
      <c r="D521" s="28" t="s">
        <v>2002</v>
      </c>
      <c r="E521" s="28" t="s">
        <v>1413</v>
      </c>
      <c r="F521" s="32" t="n">
        <v>1519.92</v>
      </c>
      <c r="G521" s="28" t="s">
        <v>108</v>
      </c>
      <c r="H521" s="28" t="s">
        <v>1414</v>
      </c>
      <c r="I521" s="28" t="s">
        <v>1101</v>
      </c>
      <c r="J521" s="28" t="s">
        <v>1101</v>
      </c>
      <c r="K521" s="28" t="s">
        <v>1415</v>
      </c>
      <c r="L521" s="28" t="s">
        <v>899</v>
      </c>
      <c r="M521" s="28" t="s">
        <v>1416</v>
      </c>
      <c r="N521" s="28" t="s">
        <v>1983</v>
      </c>
      <c r="O521" s="28" t="s">
        <v>1822</v>
      </c>
      <c r="P521" s="28"/>
    </row>
    <row r="522" customFormat="false" ht="15" hidden="false" customHeight="false" outlineLevel="0" collapsed="false">
      <c r="A522" s="28" t="s">
        <v>2004</v>
      </c>
      <c r="B522" s="28" t="s">
        <v>1466</v>
      </c>
      <c r="C522" s="28" t="s">
        <v>1467</v>
      </c>
      <c r="D522" s="28" t="s">
        <v>2002</v>
      </c>
      <c r="E522" s="28" t="s">
        <v>1413</v>
      </c>
      <c r="F522" s="32" t="n">
        <v>3626.33</v>
      </c>
      <c r="G522" s="28" t="s">
        <v>108</v>
      </c>
      <c r="H522" s="28" t="s">
        <v>1428</v>
      </c>
      <c r="I522" s="28" t="s">
        <v>881</v>
      </c>
      <c r="J522" s="28" t="s">
        <v>881</v>
      </c>
      <c r="K522" s="28" t="s">
        <v>1429</v>
      </c>
      <c r="L522" s="28" t="s">
        <v>899</v>
      </c>
      <c r="M522" s="28" t="s">
        <v>1416</v>
      </c>
      <c r="N522" s="28" t="s">
        <v>1983</v>
      </c>
      <c r="O522" s="28" t="s">
        <v>1822</v>
      </c>
      <c r="P522" s="28"/>
    </row>
    <row r="523" customFormat="false" ht="15" hidden="false" customHeight="false" outlineLevel="0" collapsed="false">
      <c r="A523" s="28" t="s">
        <v>2005</v>
      </c>
      <c r="B523" s="28" t="s">
        <v>1466</v>
      </c>
      <c r="C523" s="28" t="s">
        <v>1467</v>
      </c>
      <c r="D523" s="28" t="s">
        <v>2002</v>
      </c>
      <c r="E523" s="28" t="s">
        <v>1413</v>
      </c>
      <c r="F523" s="32" t="n">
        <v>2522.56</v>
      </c>
      <c r="G523" s="28" t="s">
        <v>108</v>
      </c>
      <c r="H523" s="28" t="s">
        <v>1414</v>
      </c>
      <c r="I523" s="28" t="s">
        <v>1101</v>
      </c>
      <c r="J523" s="28" t="s">
        <v>1101</v>
      </c>
      <c r="K523" s="28" t="s">
        <v>1415</v>
      </c>
      <c r="L523" s="28" t="s">
        <v>899</v>
      </c>
      <c r="M523" s="28" t="s">
        <v>1416</v>
      </c>
      <c r="N523" s="28" t="s">
        <v>1987</v>
      </c>
      <c r="O523" s="28" t="s">
        <v>1988</v>
      </c>
      <c r="P523" s="28"/>
    </row>
    <row r="524" customFormat="false" ht="15" hidden="false" customHeight="false" outlineLevel="0" collapsed="false">
      <c r="A524" s="28" t="s">
        <v>2006</v>
      </c>
      <c r="B524" s="28" t="s">
        <v>1466</v>
      </c>
      <c r="C524" s="28" t="s">
        <v>1467</v>
      </c>
      <c r="D524" s="28" t="s">
        <v>2002</v>
      </c>
      <c r="E524" s="28" t="s">
        <v>1413</v>
      </c>
      <c r="F524" s="32" t="n">
        <v>2689.33</v>
      </c>
      <c r="G524" s="28" t="s">
        <v>108</v>
      </c>
      <c r="H524" s="28" t="s">
        <v>1421</v>
      </c>
      <c r="I524" s="28" t="s">
        <v>1260</v>
      </c>
      <c r="J524" s="28" t="s">
        <v>1260</v>
      </c>
      <c r="K524" s="28" t="s">
        <v>1422</v>
      </c>
      <c r="L524" s="28" t="s">
        <v>899</v>
      </c>
      <c r="M524" s="28" t="s">
        <v>1416</v>
      </c>
      <c r="N524" s="28" t="s">
        <v>1987</v>
      </c>
      <c r="O524" s="28" t="s">
        <v>1988</v>
      </c>
      <c r="P524" s="28"/>
    </row>
    <row r="525" customFormat="false" ht="15" hidden="false" customHeight="false" outlineLevel="0" collapsed="false">
      <c r="A525" s="28" t="s">
        <v>2007</v>
      </c>
      <c r="B525" s="28" t="s">
        <v>1466</v>
      </c>
      <c r="C525" s="28" t="s">
        <v>1467</v>
      </c>
      <c r="D525" s="28" t="s">
        <v>2002</v>
      </c>
      <c r="E525" s="28" t="s">
        <v>1413</v>
      </c>
      <c r="F525" s="32" t="n">
        <v>2295.32</v>
      </c>
      <c r="G525" s="28" t="s">
        <v>108</v>
      </c>
      <c r="H525" s="28" t="s">
        <v>1431</v>
      </c>
      <c r="I525" s="28" t="s">
        <v>1026</v>
      </c>
      <c r="J525" s="28" t="s">
        <v>1026</v>
      </c>
      <c r="K525" s="28" t="s">
        <v>1432</v>
      </c>
      <c r="L525" s="28" t="s">
        <v>899</v>
      </c>
      <c r="M525" s="28" t="s">
        <v>1416</v>
      </c>
      <c r="N525" s="28" t="s">
        <v>1987</v>
      </c>
      <c r="O525" s="28" t="s">
        <v>1988</v>
      </c>
      <c r="P525" s="28"/>
    </row>
    <row r="526" customFormat="false" ht="15" hidden="false" customHeight="false" outlineLevel="0" collapsed="false">
      <c r="A526" s="28" t="s">
        <v>2008</v>
      </c>
      <c r="B526" s="28" t="s">
        <v>1466</v>
      </c>
      <c r="C526" s="28" t="s">
        <v>1467</v>
      </c>
      <c r="D526" s="28" t="s">
        <v>2002</v>
      </c>
      <c r="E526" s="28" t="s">
        <v>1413</v>
      </c>
      <c r="F526" s="32" t="n">
        <v>4517.14</v>
      </c>
      <c r="G526" s="28" t="s">
        <v>108</v>
      </c>
      <c r="H526" s="28" t="s">
        <v>1428</v>
      </c>
      <c r="I526" s="28" t="s">
        <v>881</v>
      </c>
      <c r="J526" s="28" t="s">
        <v>881</v>
      </c>
      <c r="K526" s="28" t="s">
        <v>1429</v>
      </c>
      <c r="L526" s="28" t="s">
        <v>899</v>
      </c>
      <c r="M526" s="28" t="s">
        <v>1416</v>
      </c>
      <c r="N526" s="28" t="s">
        <v>1987</v>
      </c>
      <c r="O526" s="28" t="s">
        <v>1988</v>
      </c>
      <c r="P526" s="28"/>
    </row>
    <row r="527" customFormat="false" ht="15" hidden="false" customHeight="false" outlineLevel="0" collapsed="false">
      <c r="A527" s="28" t="s">
        <v>2009</v>
      </c>
      <c r="B527" s="28" t="s">
        <v>1466</v>
      </c>
      <c r="C527" s="28" t="s">
        <v>1467</v>
      </c>
      <c r="D527" s="28" t="s">
        <v>2002</v>
      </c>
      <c r="E527" s="28" t="s">
        <v>1413</v>
      </c>
      <c r="F527" s="32" t="n">
        <v>4544.49</v>
      </c>
      <c r="G527" s="28" t="s">
        <v>108</v>
      </c>
      <c r="H527" s="28" t="s">
        <v>1421</v>
      </c>
      <c r="I527" s="28" t="s">
        <v>1260</v>
      </c>
      <c r="J527" s="28" t="s">
        <v>1260</v>
      </c>
      <c r="K527" s="28" t="s">
        <v>1422</v>
      </c>
      <c r="L527" s="28" t="s">
        <v>899</v>
      </c>
      <c r="M527" s="28" t="s">
        <v>1416</v>
      </c>
      <c r="N527" s="28" t="s">
        <v>1983</v>
      </c>
      <c r="O527" s="28" t="s">
        <v>1822</v>
      </c>
      <c r="P527" s="28"/>
    </row>
    <row r="528" customFormat="false" ht="15" hidden="false" customHeight="false" outlineLevel="0" collapsed="false">
      <c r="A528" s="28" t="s">
        <v>2010</v>
      </c>
      <c r="B528" s="28" t="s">
        <v>1466</v>
      </c>
      <c r="C528" s="28" t="s">
        <v>1467</v>
      </c>
      <c r="D528" s="28" t="s">
        <v>2002</v>
      </c>
      <c r="E528" s="28" t="s">
        <v>1413</v>
      </c>
      <c r="F528" s="32" t="n">
        <v>3558.96</v>
      </c>
      <c r="G528" s="28" t="s">
        <v>108</v>
      </c>
      <c r="H528" s="28" t="s">
        <v>1424</v>
      </c>
      <c r="I528" s="28" t="s">
        <v>1425</v>
      </c>
      <c r="J528" s="28" t="s">
        <v>1425</v>
      </c>
      <c r="K528" s="28" t="s">
        <v>1426</v>
      </c>
      <c r="L528" s="28" t="s">
        <v>899</v>
      </c>
      <c r="M528" s="28" t="s">
        <v>1416</v>
      </c>
      <c r="N528" s="28" t="s">
        <v>1983</v>
      </c>
      <c r="O528" s="28" t="s">
        <v>1822</v>
      </c>
      <c r="P528" s="28"/>
    </row>
    <row r="529" customFormat="false" ht="15" hidden="false" customHeight="false" outlineLevel="0" collapsed="false">
      <c r="A529" s="28" t="s">
        <v>2011</v>
      </c>
      <c r="B529" s="28" t="s">
        <v>1466</v>
      </c>
      <c r="C529" s="28" t="s">
        <v>1467</v>
      </c>
      <c r="D529" s="28" t="s">
        <v>2002</v>
      </c>
      <c r="E529" s="28" t="s">
        <v>1413</v>
      </c>
      <c r="F529" s="32" t="n">
        <v>3553.53</v>
      </c>
      <c r="G529" s="28" t="s">
        <v>108</v>
      </c>
      <c r="H529" s="28" t="s">
        <v>1431</v>
      </c>
      <c r="I529" s="28" t="s">
        <v>1026</v>
      </c>
      <c r="J529" s="28" t="s">
        <v>1026</v>
      </c>
      <c r="K529" s="28" t="s">
        <v>1432</v>
      </c>
      <c r="L529" s="28" t="s">
        <v>899</v>
      </c>
      <c r="M529" s="28" t="s">
        <v>1416</v>
      </c>
      <c r="N529" s="28" t="s">
        <v>1983</v>
      </c>
      <c r="O529" s="28" t="s">
        <v>1822</v>
      </c>
      <c r="P529" s="28"/>
    </row>
    <row r="530" customFormat="false" ht="15" hidden="false" customHeight="false" outlineLevel="0" collapsed="false">
      <c r="A530" s="28" t="s">
        <v>2012</v>
      </c>
      <c r="B530" s="28" t="s">
        <v>1466</v>
      </c>
      <c r="C530" s="28" t="s">
        <v>1467</v>
      </c>
      <c r="D530" s="28" t="s">
        <v>2002</v>
      </c>
      <c r="E530" s="28" t="s">
        <v>1413</v>
      </c>
      <c r="F530" s="32" t="n">
        <v>3033.23</v>
      </c>
      <c r="G530" s="28" t="s">
        <v>108</v>
      </c>
      <c r="H530" s="28" t="s">
        <v>1418</v>
      </c>
      <c r="I530" s="28" t="s">
        <v>889</v>
      </c>
      <c r="J530" s="28" t="s">
        <v>889</v>
      </c>
      <c r="K530" s="28" t="s">
        <v>1419</v>
      </c>
      <c r="L530" s="28" t="s">
        <v>899</v>
      </c>
      <c r="M530" s="28" t="s">
        <v>1416</v>
      </c>
      <c r="N530" s="28" t="s">
        <v>1987</v>
      </c>
      <c r="O530" s="28" t="s">
        <v>1988</v>
      </c>
      <c r="P530" s="28"/>
    </row>
    <row r="531" customFormat="false" ht="15" hidden="false" customHeight="false" outlineLevel="0" collapsed="false">
      <c r="A531" s="28" t="s">
        <v>2013</v>
      </c>
      <c r="B531" s="28" t="s">
        <v>1466</v>
      </c>
      <c r="C531" s="28" t="s">
        <v>1467</v>
      </c>
      <c r="D531" s="28" t="s">
        <v>2002</v>
      </c>
      <c r="E531" s="28" t="s">
        <v>1413</v>
      </c>
      <c r="F531" s="32" t="n">
        <v>3888.69</v>
      </c>
      <c r="G531" s="28" t="s">
        <v>108</v>
      </c>
      <c r="H531" s="28" t="s">
        <v>1418</v>
      </c>
      <c r="I531" s="28" t="s">
        <v>889</v>
      </c>
      <c r="J531" s="28" t="s">
        <v>889</v>
      </c>
      <c r="K531" s="28" t="s">
        <v>1419</v>
      </c>
      <c r="L531" s="28" t="s">
        <v>899</v>
      </c>
      <c r="M531" s="28" t="s">
        <v>1416</v>
      </c>
      <c r="N531" s="28" t="s">
        <v>1983</v>
      </c>
      <c r="O531" s="28" t="s">
        <v>1822</v>
      </c>
      <c r="P531" s="28"/>
    </row>
    <row r="532" customFormat="false" ht="15" hidden="false" customHeight="false" outlineLevel="0" collapsed="false">
      <c r="A532" s="28" t="s">
        <v>2014</v>
      </c>
      <c r="B532" s="28" t="s">
        <v>1466</v>
      </c>
      <c r="C532" s="28" t="s">
        <v>1467</v>
      </c>
      <c r="D532" s="28" t="s">
        <v>2015</v>
      </c>
      <c r="E532" s="28" t="s">
        <v>1435</v>
      </c>
      <c r="F532" s="32" t="n">
        <v>5181.23</v>
      </c>
      <c r="G532" s="28" t="s">
        <v>108</v>
      </c>
      <c r="H532" s="28" t="s">
        <v>1444</v>
      </c>
      <c r="I532" s="28" t="s">
        <v>1445</v>
      </c>
      <c r="J532" s="28" t="s">
        <v>1445</v>
      </c>
      <c r="K532" s="28" t="s">
        <v>1446</v>
      </c>
      <c r="L532" s="28" t="s">
        <v>899</v>
      </c>
      <c r="M532" s="28" t="s">
        <v>1447</v>
      </c>
      <c r="N532" s="28" t="s">
        <v>2016</v>
      </c>
      <c r="O532" s="28" t="s">
        <v>2017</v>
      </c>
      <c r="P532" s="28"/>
    </row>
    <row r="533" customFormat="false" ht="15" hidden="false" customHeight="false" outlineLevel="0" collapsed="false">
      <c r="A533" s="28" t="s">
        <v>2018</v>
      </c>
      <c r="B533" s="28" t="s">
        <v>1466</v>
      </c>
      <c r="C533" s="28" t="s">
        <v>1467</v>
      </c>
      <c r="D533" s="28" t="s">
        <v>2015</v>
      </c>
      <c r="E533" s="28" t="s">
        <v>1435</v>
      </c>
      <c r="F533" s="32" t="n">
        <v>4166.67</v>
      </c>
      <c r="G533" s="28" t="s">
        <v>108</v>
      </c>
      <c r="H533" s="28" t="s">
        <v>1436</v>
      </c>
      <c r="I533" s="28" t="s">
        <v>1437</v>
      </c>
      <c r="J533" s="28" t="s">
        <v>1437</v>
      </c>
      <c r="K533" s="28" t="s">
        <v>1438</v>
      </c>
      <c r="L533" s="28" t="s">
        <v>899</v>
      </c>
      <c r="M533" s="28" t="s">
        <v>1370</v>
      </c>
      <c r="N533" s="28" t="s">
        <v>1983</v>
      </c>
      <c r="O533" s="28" t="s">
        <v>1822</v>
      </c>
      <c r="P533" s="28"/>
    </row>
    <row r="534" customFormat="false" ht="15" hidden="false" customHeight="false" outlineLevel="0" collapsed="false">
      <c r="A534" s="28" t="s">
        <v>2019</v>
      </c>
      <c r="B534" s="28" t="s">
        <v>1466</v>
      </c>
      <c r="C534" s="28" t="s">
        <v>1467</v>
      </c>
      <c r="D534" s="28" t="s">
        <v>2015</v>
      </c>
      <c r="E534" s="28" t="s">
        <v>1435</v>
      </c>
      <c r="F534" s="32" t="n">
        <v>41.67</v>
      </c>
      <c r="G534" s="28" t="s">
        <v>108</v>
      </c>
      <c r="H534" s="28" t="s">
        <v>1757</v>
      </c>
      <c r="I534" s="28" t="s">
        <v>1087</v>
      </c>
      <c r="J534" s="28" t="s">
        <v>1087</v>
      </c>
      <c r="K534" s="28" t="s">
        <v>2020</v>
      </c>
      <c r="L534" s="28" t="s">
        <v>1759</v>
      </c>
      <c r="M534" s="28" t="s">
        <v>1069</v>
      </c>
      <c r="N534" s="28" t="s">
        <v>1987</v>
      </c>
      <c r="O534" s="28" t="s">
        <v>1988</v>
      </c>
      <c r="P534" s="28"/>
    </row>
    <row r="535" customFormat="false" ht="15" hidden="false" customHeight="false" outlineLevel="0" collapsed="false">
      <c r="A535" s="28" t="s">
        <v>2021</v>
      </c>
      <c r="B535" s="28" t="s">
        <v>1466</v>
      </c>
      <c r="C535" s="28" t="s">
        <v>1467</v>
      </c>
      <c r="D535" s="28" t="s">
        <v>2015</v>
      </c>
      <c r="E535" s="28" t="s">
        <v>1435</v>
      </c>
      <c r="F535" s="32" t="n">
        <v>112.5</v>
      </c>
      <c r="G535" s="28" t="s">
        <v>108</v>
      </c>
      <c r="H535" s="28" t="s">
        <v>2022</v>
      </c>
      <c r="I535" s="28" t="s">
        <v>1061</v>
      </c>
      <c r="J535" s="28" t="s">
        <v>1061</v>
      </c>
      <c r="K535" s="28" t="s">
        <v>2023</v>
      </c>
      <c r="L535" s="28" t="s">
        <v>899</v>
      </c>
      <c r="M535" s="28" t="s">
        <v>2024</v>
      </c>
      <c r="N535" s="28" t="s">
        <v>2016</v>
      </c>
      <c r="O535" s="28" t="s">
        <v>2017</v>
      </c>
      <c r="P535" s="28"/>
    </row>
    <row r="536" customFormat="false" ht="15" hidden="false" customHeight="false" outlineLevel="0" collapsed="false">
      <c r="A536" s="28" t="s">
        <v>2025</v>
      </c>
      <c r="B536" s="28" t="s">
        <v>1466</v>
      </c>
      <c r="C536" s="28" t="s">
        <v>1467</v>
      </c>
      <c r="D536" s="28" t="s">
        <v>2015</v>
      </c>
      <c r="E536" s="28" t="s">
        <v>1435</v>
      </c>
      <c r="F536" s="32" t="n">
        <v>1250</v>
      </c>
      <c r="G536" s="28" t="s">
        <v>108</v>
      </c>
      <c r="H536" s="28" t="s">
        <v>1440</v>
      </c>
      <c r="I536" s="28" t="s">
        <v>1441</v>
      </c>
      <c r="J536" s="28" t="s">
        <v>1441</v>
      </c>
      <c r="K536" s="28" t="s">
        <v>1442</v>
      </c>
      <c r="L536" s="28" t="s">
        <v>899</v>
      </c>
      <c r="M536" s="28" t="s">
        <v>1370</v>
      </c>
      <c r="N536" s="28" t="s">
        <v>1983</v>
      </c>
      <c r="O536" s="28" t="s">
        <v>1822</v>
      </c>
      <c r="P536" s="28"/>
    </row>
    <row r="537" customFormat="false" ht="15" hidden="false" customHeight="false" outlineLevel="0" collapsed="false">
      <c r="A537" s="28" t="s">
        <v>2026</v>
      </c>
      <c r="B537" s="28" t="s">
        <v>1466</v>
      </c>
      <c r="C537" s="28" t="s">
        <v>1467</v>
      </c>
      <c r="D537" s="28" t="s">
        <v>2015</v>
      </c>
      <c r="E537" s="28" t="s">
        <v>1435</v>
      </c>
      <c r="F537" s="32" t="n">
        <v>2083.32</v>
      </c>
      <c r="G537" s="28" t="s">
        <v>108</v>
      </c>
      <c r="H537" s="28" t="s">
        <v>1436</v>
      </c>
      <c r="I537" s="28" t="s">
        <v>1437</v>
      </c>
      <c r="J537" s="28" t="s">
        <v>1437</v>
      </c>
      <c r="K537" s="28" t="s">
        <v>1438</v>
      </c>
      <c r="L537" s="28" t="s">
        <v>899</v>
      </c>
      <c r="M537" s="28" t="s">
        <v>1370</v>
      </c>
      <c r="N537" s="28" t="s">
        <v>1987</v>
      </c>
      <c r="O537" s="28" t="s">
        <v>1988</v>
      </c>
      <c r="P537" s="28"/>
    </row>
    <row r="538" customFormat="false" ht="15" hidden="false" customHeight="false" outlineLevel="0" collapsed="false">
      <c r="A538" s="28" t="s">
        <v>2027</v>
      </c>
      <c r="B538" s="28" t="s">
        <v>1466</v>
      </c>
      <c r="C538" s="28" t="s">
        <v>1467</v>
      </c>
      <c r="D538" s="28" t="s">
        <v>2015</v>
      </c>
      <c r="E538" s="28" t="s">
        <v>1435</v>
      </c>
      <c r="F538" s="32" t="n">
        <v>1660.83</v>
      </c>
      <c r="G538" s="28" t="s">
        <v>108</v>
      </c>
      <c r="H538" s="28" t="s">
        <v>2028</v>
      </c>
      <c r="I538" s="28" t="s">
        <v>1441</v>
      </c>
      <c r="J538" s="28" t="s">
        <v>1441</v>
      </c>
      <c r="K538" s="28"/>
      <c r="L538" s="28" t="s">
        <v>899</v>
      </c>
      <c r="M538" s="28" t="s">
        <v>2024</v>
      </c>
      <c r="N538" s="28" t="s">
        <v>2016</v>
      </c>
      <c r="O538" s="28" t="s">
        <v>2017</v>
      </c>
      <c r="P538" s="28"/>
    </row>
    <row r="539" customFormat="false" ht="15" hidden="false" customHeight="false" outlineLevel="0" collapsed="false">
      <c r="A539" s="28" t="s">
        <v>2029</v>
      </c>
      <c r="B539" s="28" t="s">
        <v>1466</v>
      </c>
      <c r="C539" s="28" t="s">
        <v>1467</v>
      </c>
      <c r="D539" s="28" t="s">
        <v>2015</v>
      </c>
      <c r="E539" s="28" t="s">
        <v>1435</v>
      </c>
      <c r="F539" s="32" t="n">
        <v>5181.23</v>
      </c>
      <c r="G539" s="28" t="s">
        <v>108</v>
      </c>
      <c r="H539" s="28" t="s">
        <v>1444</v>
      </c>
      <c r="I539" s="28" t="s">
        <v>1445</v>
      </c>
      <c r="J539" s="28" t="s">
        <v>1445</v>
      </c>
      <c r="K539" s="28" t="s">
        <v>1446</v>
      </c>
      <c r="L539" s="28" t="s">
        <v>899</v>
      </c>
      <c r="M539" s="28" t="s">
        <v>1447</v>
      </c>
      <c r="N539" s="28" t="s">
        <v>1987</v>
      </c>
      <c r="O539" s="28" t="s">
        <v>1988</v>
      </c>
      <c r="P539" s="28"/>
    </row>
    <row r="540" customFormat="false" ht="15" hidden="false" customHeight="false" outlineLevel="0" collapsed="false">
      <c r="A540" s="28" t="s">
        <v>2030</v>
      </c>
      <c r="B540" s="28" t="s">
        <v>1466</v>
      </c>
      <c r="C540" s="28" t="s">
        <v>1467</v>
      </c>
      <c r="D540" s="28" t="s">
        <v>2015</v>
      </c>
      <c r="E540" s="28" t="s">
        <v>1435</v>
      </c>
      <c r="F540" s="32" t="n">
        <v>500</v>
      </c>
      <c r="G540" s="28" t="s">
        <v>108</v>
      </c>
      <c r="H540" s="28" t="s">
        <v>2031</v>
      </c>
      <c r="I540" s="28" t="s">
        <v>1260</v>
      </c>
      <c r="J540" s="28" t="s">
        <v>1260</v>
      </c>
      <c r="K540" s="28" t="s">
        <v>2032</v>
      </c>
      <c r="L540" s="28" t="s">
        <v>1068</v>
      </c>
      <c r="M540" s="28"/>
      <c r="N540" s="28"/>
      <c r="O540" s="28"/>
      <c r="P540" s="28"/>
    </row>
    <row r="541" customFormat="false" ht="15" hidden="false" customHeight="false" outlineLevel="0" collapsed="false">
      <c r="A541" s="28" t="s">
        <v>2033</v>
      </c>
      <c r="B541" s="28" t="s">
        <v>1466</v>
      </c>
      <c r="C541" s="28" t="s">
        <v>1467</v>
      </c>
      <c r="D541" s="28" t="s">
        <v>2015</v>
      </c>
      <c r="E541" s="28" t="s">
        <v>1435</v>
      </c>
      <c r="F541" s="32" t="n">
        <v>250</v>
      </c>
      <c r="G541" s="28" t="s">
        <v>108</v>
      </c>
      <c r="H541" s="28" t="s">
        <v>2034</v>
      </c>
      <c r="I541" s="28" t="s">
        <v>1126</v>
      </c>
      <c r="J541" s="28" t="s">
        <v>1126</v>
      </c>
      <c r="K541" s="28" t="s">
        <v>2032</v>
      </c>
      <c r="L541" s="28" t="s">
        <v>1068</v>
      </c>
      <c r="M541" s="28"/>
      <c r="N541" s="28"/>
      <c r="O541" s="28"/>
      <c r="P541" s="28"/>
    </row>
    <row r="542" customFormat="false" ht="15" hidden="false" customHeight="false" outlineLevel="0" collapsed="false">
      <c r="A542" s="28" t="s">
        <v>2035</v>
      </c>
      <c r="B542" s="28" t="s">
        <v>1466</v>
      </c>
      <c r="C542" s="28" t="s">
        <v>1467</v>
      </c>
      <c r="D542" s="28" t="s">
        <v>2015</v>
      </c>
      <c r="E542" s="28" t="s">
        <v>1435</v>
      </c>
      <c r="F542" s="32" t="n">
        <v>1666.66</v>
      </c>
      <c r="G542" s="28" t="s">
        <v>108</v>
      </c>
      <c r="H542" s="28" t="s">
        <v>1440</v>
      </c>
      <c r="I542" s="28" t="s">
        <v>1441</v>
      </c>
      <c r="J542" s="28" t="s">
        <v>1441</v>
      </c>
      <c r="K542" s="28" t="s">
        <v>1442</v>
      </c>
      <c r="L542" s="28" t="s">
        <v>899</v>
      </c>
      <c r="M542" s="28" t="s">
        <v>1370</v>
      </c>
      <c r="N542" s="28" t="s">
        <v>1987</v>
      </c>
      <c r="O542" s="28" t="s">
        <v>1988</v>
      </c>
      <c r="P542" s="28"/>
    </row>
    <row r="543" customFormat="false" ht="15" hidden="false" customHeight="false" outlineLevel="0" collapsed="false">
      <c r="A543" s="28" t="s">
        <v>2036</v>
      </c>
      <c r="B543" s="28" t="s">
        <v>1470</v>
      </c>
      <c r="C543" s="28" t="s">
        <v>1471</v>
      </c>
      <c r="D543" s="28" t="s">
        <v>2037</v>
      </c>
      <c r="E543" s="28" t="s">
        <v>2038</v>
      </c>
      <c r="F543" s="32" t="n">
        <v>468.93</v>
      </c>
      <c r="G543" s="28" t="s">
        <v>108</v>
      </c>
      <c r="H543" s="28" t="s">
        <v>1826</v>
      </c>
      <c r="I543" s="28" t="s">
        <v>1101</v>
      </c>
      <c r="J543" s="28" t="s">
        <v>1101</v>
      </c>
      <c r="K543" s="28"/>
      <c r="L543" s="28" t="s">
        <v>1814</v>
      </c>
      <c r="M543" s="28"/>
      <c r="N543" s="28" t="s">
        <v>1827</v>
      </c>
      <c r="O543" s="28" t="s">
        <v>1828</v>
      </c>
      <c r="P543" s="28"/>
    </row>
    <row r="544" customFormat="false" ht="15" hidden="false" customHeight="false" outlineLevel="0" collapsed="false">
      <c r="A544" s="28" t="s">
        <v>2039</v>
      </c>
      <c r="B544" s="28" t="s">
        <v>1466</v>
      </c>
      <c r="C544" s="28" t="s">
        <v>1467</v>
      </c>
      <c r="D544" s="28" t="s">
        <v>2037</v>
      </c>
      <c r="E544" s="28" t="s">
        <v>2038</v>
      </c>
      <c r="F544" s="32" t="n">
        <v>629.38</v>
      </c>
      <c r="G544" s="28" t="s">
        <v>108</v>
      </c>
      <c r="H544" s="28" t="s">
        <v>1813</v>
      </c>
      <c r="I544" s="28" t="s">
        <v>1101</v>
      </c>
      <c r="J544" s="28" t="s">
        <v>1101</v>
      </c>
      <c r="K544" s="28"/>
      <c r="L544" s="28" t="s">
        <v>1814</v>
      </c>
      <c r="M544" s="28"/>
      <c r="N544" s="28" t="s">
        <v>1815</v>
      </c>
      <c r="O544" s="28" t="s">
        <v>1816</v>
      </c>
      <c r="P544" s="28"/>
    </row>
    <row r="545" customFormat="false" ht="15" hidden="false" customHeight="false" outlineLevel="0" collapsed="false">
      <c r="A545" s="28" t="s">
        <v>2040</v>
      </c>
      <c r="B545" s="28" t="s">
        <v>1466</v>
      </c>
      <c r="C545" s="28" t="s">
        <v>1467</v>
      </c>
      <c r="D545" s="28" t="s">
        <v>2037</v>
      </c>
      <c r="E545" s="28" t="s">
        <v>2038</v>
      </c>
      <c r="F545" s="32" t="n">
        <v>1098.18</v>
      </c>
      <c r="G545" s="28" t="s">
        <v>108</v>
      </c>
      <c r="H545" s="28" t="s">
        <v>1824</v>
      </c>
      <c r="I545" s="28" t="s">
        <v>1101</v>
      </c>
      <c r="J545" s="28" t="s">
        <v>1101</v>
      </c>
      <c r="K545" s="28"/>
      <c r="L545" s="28" t="s">
        <v>1814</v>
      </c>
      <c r="M545" s="28"/>
      <c r="N545" s="28" t="s">
        <v>1821</v>
      </c>
      <c r="O545" s="28" t="s">
        <v>1822</v>
      </c>
      <c r="P545" s="28"/>
    </row>
    <row r="546" customFormat="false" ht="15" hidden="false" customHeight="false" outlineLevel="0" collapsed="false">
      <c r="A546" s="28" t="s">
        <v>2041</v>
      </c>
      <c r="B546" s="28" t="s">
        <v>1470</v>
      </c>
      <c r="C546" s="28" t="s">
        <v>1471</v>
      </c>
      <c r="D546" s="28" t="s">
        <v>2037</v>
      </c>
      <c r="E546" s="28" t="s">
        <v>2038</v>
      </c>
      <c r="F546" s="32" t="n">
        <v>496.12</v>
      </c>
      <c r="G546" s="28" t="s">
        <v>108</v>
      </c>
      <c r="H546" s="28" t="s">
        <v>1832</v>
      </c>
      <c r="I546" s="28" t="s">
        <v>1101</v>
      </c>
      <c r="J546" s="28" t="s">
        <v>1101</v>
      </c>
      <c r="K546" s="28"/>
      <c r="L546" s="28" t="s">
        <v>1814</v>
      </c>
      <c r="M546" s="28"/>
      <c r="N546" s="28" t="s">
        <v>1833</v>
      </c>
      <c r="O546" s="28" t="s">
        <v>1834</v>
      </c>
      <c r="P546" s="28"/>
    </row>
    <row r="547" customFormat="false" ht="15" hidden="false" customHeight="false" outlineLevel="0" collapsed="false">
      <c r="A547" s="28" t="s">
        <v>2042</v>
      </c>
      <c r="B547" s="28" t="s">
        <v>1466</v>
      </c>
      <c r="C547" s="28" t="s">
        <v>1467</v>
      </c>
      <c r="D547" s="28" t="s">
        <v>2037</v>
      </c>
      <c r="E547" s="28" t="s">
        <v>2038</v>
      </c>
      <c r="F547" s="32" t="n">
        <v>361.85</v>
      </c>
      <c r="G547" s="28" t="s">
        <v>108</v>
      </c>
      <c r="H547" s="28" t="s">
        <v>1818</v>
      </c>
      <c r="I547" s="28" t="s">
        <v>1343</v>
      </c>
      <c r="J547" s="28" t="s">
        <v>1343</v>
      </c>
      <c r="K547" s="28"/>
      <c r="L547" s="28" t="s">
        <v>1814</v>
      </c>
      <c r="M547" s="28"/>
      <c r="N547" s="28" t="s">
        <v>1815</v>
      </c>
      <c r="O547" s="28" t="s">
        <v>1816</v>
      </c>
      <c r="P547" s="28"/>
    </row>
    <row r="548" customFormat="false" ht="15" hidden="false" customHeight="false" outlineLevel="0" collapsed="false">
      <c r="A548" s="28" t="s">
        <v>2043</v>
      </c>
      <c r="B548" s="28" t="s">
        <v>1470</v>
      </c>
      <c r="C548" s="28" t="s">
        <v>1471</v>
      </c>
      <c r="D548" s="28" t="s">
        <v>2037</v>
      </c>
      <c r="E548" s="28" t="s">
        <v>2038</v>
      </c>
      <c r="F548" s="32" t="n">
        <v>364.95</v>
      </c>
      <c r="G548" s="28" t="s">
        <v>108</v>
      </c>
      <c r="H548" s="28" t="s">
        <v>1836</v>
      </c>
      <c r="I548" s="28" t="s">
        <v>1343</v>
      </c>
      <c r="J548" s="28" t="s">
        <v>1343</v>
      </c>
      <c r="K548" s="28"/>
      <c r="L548" s="28" t="s">
        <v>1814</v>
      </c>
      <c r="M548" s="28"/>
      <c r="N548" s="28" t="s">
        <v>1833</v>
      </c>
      <c r="O548" s="28" t="s">
        <v>1834</v>
      </c>
      <c r="P548" s="28"/>
    </row>
    <row r="549" customFormat="false" ht="15" hidden="false" customHeight="false" outlineLevel="0" collapsed="false">
      <c r="A549" s="28" t="s">
        <v>2044</v>
      </c>
      <c r="B549" s="28" t="s">
        <v>1466</v>
      </c>
      <c r="C549" s="28" t="s">
        <v>1467</v>
      </c>
      <c r="D549" s="28" t="s">
        <v>2037</v>
      </c>
      <c r="E549" s="28" t="s">
        <v>2038</v>
      </c>
      <c r="F549" s="32" t="n">
        <v>363.58</v>
      </c>
      <c r="G549" s="28" t="s">
        <v>108</v>
      </c>
      <c r="H549" s="28" t="s">
        <v>1820</v>
      </c>
      <c r="I549" s="28" t="s">
        <v>1343</v>
      </c>
      <c r="J549" s="28" t="s">
        <v>1343</v>
      </c>
      <c r="K549" s="28"/>
      <c r="L549" s="28" t="s">
        <v>1814</v>
      </c>
      <c r="M549" s="28"/>
      <c r="N549" s="28" t="s">
        <v>1821</v>
      </c>
      <c r="O549" s="28" t="s">
        <v>1822</v>
      </c>
      <c r="P549" s="28"/>
    </row>
    <row r="550" customFormat="false" ht="15" hidden="false" customHeight="false" outlineLevel="0" collapsed="false">
      <c r="A550" s="28" t="s">
        <v>2045</v>
      </c>
      <c r="B550" s="28" t="s">
        <v>1466</v>
      </c>
      <c r="C550" s="28" t="s">
        <v>1467</v>
      </c>
      <c r="D550" s="28" t="s">
        <v>2037</v>
      </c>
      <c r="E550" s="28" t="s">
        <v>2038</v>
      </c>
      <c r="F550" s="32" t="n">
        <v>-137.9</v>
      </c>
      <c r="G550" s="28" t="s">
        <v>108</v>
      </c>
      <c r="H550" s="28" t="s">
        <v>2046</v>
      </c>
      <c r="I550" s="28" t="s">
        <v>889</v>
      </c>
      <c r="J550" s="28" t="s">
        <v>889</v>
      </c>
      <c r="K550" s="28" t="s">
        <v>2047</v>
      </c>
      <c r="L550" s="28" t="s">
        <v>1814</v>
      </c>
      <c r="M550" s="28" t="s">
        <v>1816</v>
      </c>
      <c r="N550" s="28" t="s">
        <v>1815</v>
      </c>
      <c r="O550" s="28" t="s">
        <v>1816</v>
      </c>
      <c r="P550" s="28"/>
    </row>
    <row r="551" customFormat="false" ht="15" hidden="false" customHeight="false" outlineLevel="0" collapsed="false">
      <c r="A551" s="28" t="s">
        <v>2048</v>
      </c>
      <c r="B551" s="28" t="s">
        <v>1470</v>
      </c>
      <c r="C551" s="28" t="s">
        <v>1471</v>
      </c>
      <c r="D551" s="28" t="s">
        <v>2037</v>
      </c>
      <c r="E551" s="28" t="s">
        <v>2038</v>
      </c>
      <c r="F551" s="32" t="n">
        <v>34.87</v>
      </c>
      <c r="G551" s="28" t="s">
        <v>108</v>
      </c>
      <c r="H551" s="28" t="s">
        <v>2049</v>
      </c>
      <c r="I551" s="28" t="s">
        <v>1101</v>
      </c>
      <c r="J551" s="28" t="s">
        <v>1101</v>
      </c>
      <c r="K551" s="28"/>
      <c r="L551" s="28" t="s">
        <v>1814</v>
      </c>
      <c r="M551" s="28"/>
      <c r="N551" s="28" t="s">
        <v>2050</v>
      </c>
      <c r="O551" s="28" t="s">
        <v>2051</v>
      </c>
      <c r="P551" s="28"/>
    </row>
    <row r="552" customFormat="false" ht="15" hidden="false" customHeight="false" outlineLevel="0" collapsed="false">
      <c r="A552" s="28" t="s">
        <v>2052</v>
      </c>
      <c r="B552" s="28" t="s">
        <v>1470</v>
      </c>
      <c r="C552" s="28" t="s">
        <v>1471</v>
      </c>
      <c r="D552" s="28" t="s">
        <v>2037</v>
      </c>
      <c r="E552" s="28" t="s">
        <v>2038</v>
      </c>
      <c r="F552" s="32" t="n">
        <v>343.63</v>
      </c>
      <c r="G552" s="28" t="s">
        <v>108</v>
      </c>
      <c r="H552" s="28" t="s">
        <v>1838</v>
      </c>
      <c r="I552" s="28" t="s">
        <v>1343</v>
      </c>
      <c r="J552" s="28" t="s">
        <v>1343</v>
      </c>
      <c r="K552" s="28"/>
      <c r="L552" s="28" t="s">
        <v>1814</v>
      </c>
      <c r="M552" s="28"/>
      <c r="N552" s="28" t="s">
        <v>1827</v>
      </c>
      <c r="O552" s="28" t="s">
        <v>1828</v>
      </c>
      <c r="P552" s="28"/>
    </row>
    <row r="553" customFormat="false" ht="15" hidden="false" customHeight="false" outlineLevel="0" collapsed="false">
      <c r="A553" s="28" t="s">
        <v>2053</v>
      </c>
      <c r="B553" s="28" t="s">
        <v>1470</v>
      </c>
      <c r="C553" s="28" t="s">
        <v>1471</v>
      </c>
      <c r="D553" s="28" t="s">
        <v>2037</v>
      </c>
      <c r="E553" s="28" t="s">
        <v>2038</v>
      </c>
      <c r="F553" s="32" t="n">
        <v>34.87</v>
      </c>
      <c r="G553" s="28" t="s">
        <v>108</v>
      </c>
      <c r="H553" s="28" t="s">
        <v>2054</v>
      </c>
      <c r="I553" s="28" t="s">
        <v>1343</v>
      </c>
      <c r="J553" s="28" t="s">
        <v>1343</v>
      </c>
      <c r="K553" s="28"/>
      <c r="L553" s="28" t="s">
        <v>1814</v>
      </c>
      <c r="M553" s="28"/>
      <c r="N553" s="28" t="s">
        <v>2050</v>
      </c>
      <c r="O553" s="28" t="s">
        <v>2051</v>
      </c>
      <c r="P553" s="28"/>
    </row>
    <row r="554" customFormat="false" ht="15" hidden="false" customHeight="false" outlineLevel="0" collapsed="false">
      <c r="A554" s="28" t="s">
        <v>2055</v>
      </c>
      <c r="B554" s="28" t="s">
        <v>1466</v>
      </c>
      <c r="C554" s="28" t="s">
        <v>1467</v>
      </c>
      <c r="D554" s="28" t="s">
        <v>2056</v>
      </c>
      <c r="E554" s="28" t="s">
        <v>1450</v>
      </c>
      <c r="F554" s="32" t="n">
        <v>-9470</v>
      </c>
      <c r="G554" s="28" t="s">
        <v>108</v>
      </c>
      <c r="H554" s="28" t="s">
        <v>2057</v>
      </c>
      <c r="I554" s="28" t="s">
        <v>881</v>
      </c>
      <c r="J554" s="28" t="s">
        <v>881</v>
      </c>
      <c r="K554" s="28" t="s">
        <v>2058</v>
      </c>
      <c r="L554" s="28" t="s">
        <v>899</v>
      </c>
      <c r="M554" s="28"/>
      <c r="N554" s="28"/>
      <c r="O554" s="28"/>
      <c r="P554" s="28"/>
    </row>
    <row r="555" customFormat="false" ht="15" hidden="false" customHeight="false" outlineLevel="0" collapsed="false">
      <c r="A555" s="28" t="s">
        <v>2059</v>
      </c>
      <c r="B555" s="28" t="s">
        <v>1466</v>
      </c>
      <c r="C555" s="28" t="s">
        <v>1467</v>
      </c>
      <c r="D555" s="28" t="s">
        <v>2056</v>
      </c>
      <c r="E555" s="28" t="s">
        <v>1450</v>
      </c>
      <c r="F555" s="32" t="n">
        <v>-7050</v>
      </c>
      <c r="G555" s="28" t="s">
        <v>108</v>
      </c>
      <c r="H555" s="28" t="s">
        <v>2060</v>
      </c>
      <c r="I555" s="28" t="s">
        <v>889</v>
      </c>
      <c r="J555" s="28" t="s">
        <v>889</v>
      </c>
      <c r="K555" s="28" t="s">
        <v>2061</v>
      </c>
      <c r="L555" s="28" t="s">
        <v>899</v>
      </c>
      <c r="M555" s="28"/>
      <c r="N555" s="28"/>
      <c r="O555" s="28"/>
      <c r="P555" s="28"/>
    </row>
    <row r="556" customFormat="false" ht="15" hidden="false" customHeight="false" outlineLevel="0" collapsed="false">
      <c r="A556" s="28" t="s">
        <v>2062</v>
      </c>
      <c r="B556" s="28" t="s">
        <v>1466</v>
      </c>
      <c r="C556" s="28" t="s">
        <v>1467</v>
      </c>
      <c r="D556" s="28" t="s">
        <v>2056</v>
      </c>
      <c r="E556" s="28" t="s">
        <v>1450</v>
      </c>
      <c r="F556" s="32" t="n">
        <v>-11012.33</v>
      </c>
      <c r="G556" s="28" t="s">
        <v>108</v>
      </c>
      <c r="H556" s="28" t="s">
        <v>1454</v>
      </c>
      <c r="I556" s="28" t="s">
        <v>881</v>
      </c>
      <c r="J556" s="28" t="s">
        <v>881</v>
      </c>
      <c r="K556" s="28" t="s">
        <v>1455</v>
      </c>
      <c r="L556" s="28" t="s">
        <v>899</v>
      </c>
      <c r="M556" s="28"/>
      <c r="N556" s="28"/>
      <c r="O556" s="28"/>
      <c r="P556" s="28"/>
    </row>
    <row r="557" customFormat="false" ht="15" hidden="false" customHeight="false" outlineLevel="0" collapsed="false">
      <c r="A557" s="28" t="s">
        <v>2063</v>
      </c>
      <c r="B557" s="28" t="s">
        <v>1466</v>
      </c>
      <c r="C557" s="28" t="s">
        <v>1467</v>
      </c>
      <c r="D557" s="28" t="s">
        <v>2056</v>
      </c>
      <c r="E557" s="28" t="s">
        <v>1450</v>
      </c>
      <c r="F557" s="32" t="n">
        <v>-7033.26</v>
      </c>
      <c r="G557" s="28" t="s">
        <v>108</v>
      </c>
      <c r="H557" s="28" t="s">
        <v>1451</v>
      </c>
      <c r="I557" s="28" t="s">
        <v>889</v>
      </c>
      <c r="J557" s="28" t="s">
        <v>889</v>
      </c>
      <c r="K557" s="28" t="s">
        <v>1452</v>
      </c>
      <c r="L557" s="28" t="s">
        <v>899</v>
      </c>
      <c r="M557" s="28"/>
      <c r="N557" s="28"/>
      <c r="O557" s="28"/>
      <c r="P557" s="28"/>
    </row>
    <row r="558" customFormat="false" ht="15" hidden="false" customHeight="false" outlineLevel="0" collapsed="false">
      <c r="A558" s="28" t="s">
        <v>2064</v>
      </c>
      <c r="B558" s="28" t="s">
        <v>1466</v>
      </c>
      <c r="C558" s="28" t="s">
        <v>1467</v>
      </c>
      <c r="D558" s="28" t="s">
        <v>2065</v>
      </c>
      <c r="E558" s="28" t="s">
        <v>1458</v>
      </c>
      <c r="F558" s="32" t="n">
        <v>2202.47</v>
      </c>
      <c r="G558" s="28" t="s">
        <v>108</v>
      </c>
      <c r="H558" s="28" t="s">
        <v>1461</v>
      </c>
      <c r="I558" s="28" t="s">
        <v>881</v>
      </c>
      <c r="J558" s="28" t="s">
        <v>881</v>
      </c>
      <c r="K558" s="28" t="s">
        <v>1455</v>
      </c>
      <c r="L558" s="28" t="s">
        <v>899</v>
      </c>
      <c r="M558" s="28"/>
      <c r="N558" s="28"/>
      <c r="O558" s="28"/>
      <c r="P558" s="28"/>
    </row>
    <row r="559" customFormat="false" ht="15" hidden="false" customHeight="false" outlineLevel="0" collapsed="false">
      <c r="A559" s="28" t="s">
        <v>2066</v>
      </c>
      <c r="B559" s="28" t="s">
        <v>1466</v>
      </c>
      <c r="C559" s="28" t="s">
        <v>1467</v>
      </c>
      <c r="D559" s="28" t="s">
        <v>2065</v>
      </c>
      <c r="E559" s="28" t="s">
        <v>1458</v>
      </c>
      <c r="F559" s="32" t="n">
        <v>1406.65</v>
      </c>
      <c r="G559" s="28" t="s">
        <v>108</v>
      </c>
      <c r="H559" s="28" t="s">
        <v>1463</v>
      </c>
      <c r="I559" s="28" t="s">
        <v>889</v>
      </c>
      <c r="J559" s="28" t="s">
        <v>889</v>
      </c>
      <c r="K559" s="28" t="s">
        <v>1464</v>
      </c>
      <c r="L559" s="28" t="s">
        <v>899</v>
      </c>
      <c r="M559" s="28"/>
      <c r="N559" s="28"/>
      <c r="O559" s="28"/>
      <c r="P559" s="28"/>
    </row>
    <row r="560" customFormat="false" ht="15" hidden="false" customHeight="false" outlineLevel="0" collapsed="false">
      <c r="A560" s="28" t="s">
        <v>2067</v>
      </c>
      <c r="B560" s="28" t="s">
        <v>1466</v>
      </c>
      <c r="C560" s="28" t="s">
        <v>1467</v>
      </c>
      <c r="D560" s="28" t="s">
        <v>2065</v>
      </c>
      <c r="E560" s="28" t="s">
        <v>1458</v>
      </c>
      <c r="F560" s="32" t="n">
        <v>11012.33</v>
      </c>
      <c r="G560" s="28" t="s">
        <v>108</v>
      </c>
      <c r="H560" s="28" t="s">
        <v>1454</v>
      </c>
      <c r="I560" s="28" t="s">
        <v>881</v>
      </c>
      <c r="J560" s="28" t="s">
        <v>881</v>
      </c>
      <c r="K560" s="28" t="s">
        <v>1455</v>
      </c>
      <c r="L560" s="28" t="s">
        <v>899</v>
      </c>
      <c r="M560" s="28"/>
      <c r="N560" s="28"/>
      <c r="O560" s="28"/>
      <c r="P560" s="28"/>
    </row>
    <row r="561" customFormat="false" ht="15" hidden="false" customHeight="false" outlineLevel="0" collapsed="false">
      <c r="A561" s="28" t="s">
        <v>2068</v>
      </c>
      <c r="B561" s="28" t="s">
        <v>1466</v>
      </c>
      <c r="C561" s="28" t="s">
        <v>1467</v>
      </c>
      <c r="D561" s="28" t="s">
        <v>2065</v>
      </c>
      <c r="E561" s="28" t="s">
        <v>1458</v>
      </c>
      <c r="F561" s="32" t="n">
        <v>7050</v>
      </c>
      <c r="G561" s="28" t="s">
        <v>108</v>
      </c>
      <c r="H561" s="28" t="s">
        <v>2060</v>
      </c>
      <c r="I561" s="28" t="s">
        <v>889</v>
      </c>
      <c r="J561" s="28" t="s">
        <v>889</v>
      </c>
      <c r="K561" s="28" t="s">
        <v>2061</v>
      </c>
      <c r="L561" s="28" t="s">
        <v>899</v>
      </c>
      <c r="M561" s="28"/>
      <c r="N561" s="28"/>
      <c r="O561" s="28"/>
      <c r="P561" s="28"/>
    </row>
    <row r="562" customFormat="false" ht="15" hidden="false" customHeight="false" outlineLevel="0" collapsed="false">
      <c r="A562" s="28" t="s">
        <v>2069</v>
      </c>
      <c r="B562" s="28" t="s">
        <v>1466</v>
      </c>
      <c r="C562" s="28" t="s">
        <v>1467</v>
      </c>
      <c r="D562" s="28" t="s">
        <v>2065</v>
      </c>
      <c r="E562" s="28" t="s">
        <v>1458</v>
      </c>
      <c r="F562" s="32" t="n">
        <v>1410</v>
      </c>
      <c r="G562" s="28" t="s">
        <v>108</v>
      </c>
      <c r="H562" s="28" t="s">
        <v>2070</v>
      </c>
      <c r="I562" s="28" t="s">
        <v>889</v>
      </c>
      <c r="J562" s="28" t="s">
        <v>889</v>
      </c>
      <c r="K562" s="28" t="s">
        <v>2061</v>
      </c>
      <c r="L562" s="28" t="s">
        <v>899</v>
      </c>
      <c r="M562" s="28"/>
      <c r="N562" s="28"/>
      <c r="O562" s="28"/>
      <c r="P562" s="28"/>
    </row>
    <row r="563" customFormat="false" ht="15" hidden="false" customHeight="false" outlineLevel="0" collapsed="false">
      <c r="A563" s="28" t="s">
        <v>2071</v>
      </c>
      <c r="B563" s="28" t="s">
        <v>1466</v>
      </c>
      <c r="C563" s="28" t="s">
        <v>1467</v>
      </c>
      <c r="D563" s="28" t="s">
        <v>2065</v>
      </c>
      <c r="E563" s="28" t="s">
        <v>1458</v>
      </c>
      <c r="F563" s="32" t="n">
        <v>9470</v>
      </c>
      <c r="G563" s="28" t="s">
        <v>108</v>
      </c>
      <c r="H563" s="28" t="s">
        <v>2057</v>
      </c>
      <c r="I563" s="28" t="s">
        <v>881</v>
      </c>
      <c r="J563" s="28" t="s">
        <v>881</v>
      </c>
      <c r="K563" s="28" t="s">
        <v>2058</v>
      </c>
      <c r="L563" s="28" t="s">
        <v>899</v>
      </c>
      <c r="M563" s="28"/>
      <c r="N563" s="28"/>
      <c r="O563" s="28"/>
      <c r="P563" s="28"/>
    </row>
    <row r="564" customFormat="false" ht="15" hidden="false" customHeight="false" outlineLevel="0" collapsed="false">
      <c r="A564" s="28" t="s">
        <v>2072</v>
      </c>
      <c r="B564" s="28" t="s">
        <v>1466</v>
      </c>
      <c r="C564" s="28" t="s">
        <v>1467</v>
      </c>
      <c r="D564" s="28" t="s">
        <v>2065</v>
      </c>
      <c r="E564" s="28" t="s">
        <v>1458</v>
      </c>
      <c r="F564" s="32" t="n">
        <v>7033.26</v>
      </c>
      <c r="G564" s="28" t="s">
        <v>108</v>
      </c>
      <c r="H564" s="28" t="s">
        <v>1451</v>
      </c>
      <c r="I564" s="28" t="s">
        <v>889</v>
      </c>
      <c r="J564" s="28" t="s">
        <v>889</v>
      </c>
      <c r="K564" s="28" t="s">
        <v>1452</v>
      </c>
      <c r="L564" s="28" t="s">
        <v>899</v>
      </c>
      <c r="M564" s="28"/>
      <c r="N564" s="28"/>
      <c r="O564" s="28"/>
      <c r="P564" s="28"/>
    </row>
    <row r="565" customFormat="false" ht="15" hidden="false" customHeight="false" outlineLevel="0" collapsed="false">
      <c r="A565" s="28" t="s">
        <v>2073</v>
      </c>
      <c r="B565" s="28" t="s">
        <v>1466</v>
      </c>
      <c r="C565" s="28" t="s">
        <v>1467</v>
      </c>
      <c r="D565" s="28" t="s">
        <v>2065</v>
      </c>
      <c r="E565" s="28" t="s">
        <v>1458</v>
      </c>
      <c r="F565" s="32" t="n">
        <v>568.2</v>
      </c>
      <c r="G565" s="28" t="s">
        <v>108</v>
      </c>
      <c r="H565" s="28" t="s">
        <v>2074</v>
      </c>
      <c r="I565" s="28" t="s">
        <v>881</v>
      </c>
      <c r="J565" s="28" t="s">
        <v>881</v>
      </c>
      <c r="K565" s="28" t="s">
        <v>2058</v>
      </c>
      <c r="L565" s="28" t="s">
        <v>899</v>
      </c>
      <c r="M565" s="28"/>
      <c r="N565" s="28"/>
      <c r="O565" s="28"/>
      <c r="P565" s="28"/>
    </row>
    <row r="566" customFormat="false" ht="15" hidden="false" customHeight="false" outlineLevel="0" collapsed="false">
      <c r="A566" s="28" t="s">
        <v>2075</v>
      </c>
      <c r="B566" s="28" t="s">
        <v>1470</v>
      </c>
      <c r="C566" s="28" t="s">
        <v>1471</v>
      </c>
      <c r="D566" s="28" t="s">
        <v>2076</v>
      </c>
      <c r="E566" s="28" t="s">
        <v>2077</v>
      </c>
      <c r="F566" s="32" t="n">
        <v>34.34</v>
      </c>
      <c r="G566" s="28" t="s">
        <v>108</v>
      </c>
      <c r="H566" s="28" t="s">
        <v>1838</v>
      </c>
      <c r="I566" s="28" t="s">
        <v>1343</v>
      </c>
      <c r="J566" s="28" t="s">
        <v>1343</v>
      </c>
      <c r="K566" s="28"/>
      <c r="L566" s="28" t="s">
        <v>1814</v>
      </c>
      <c r="M566" s="28"/>
      <c r="N566" s="28" t="s">
        <v>1827</v>
      </c>
      <c r="O566" s="28" t="s">
        <v>1828</v>
      </c>
      <c r="P566" s="28"/>
    </row>
    <row r="567" customFormat="false" ht="15" hidden="false" customHeight="false" outlineLevel="0" collapsed="false">
      <c r="A567" s="28" t="s">
        <v>2078</v>
      </c>
      <c r="B567" s="28" t="s">
        <v>1470</v>
      </c>
      <c r="C567" s="28" t="s">
        <v>1471</v>
      </c>
      <c r="D567" s="28" t="s">
        <v>2076</v>
      </c>
      <c r="E567" s="28" t="s">
        <v>2077</v>
      </c>
      <c r="F567" s="32" t="n">
        <v>49.66</v>
      </c>
      <c r="G567" s="28" t="s">
        <v>108</v>
      </c>
      <c r="H567" s="28" t="s">
        <v>1832</v>
      </c>
      <c r="I567" s="28" t="s">
        <v>1101</v>
      </c>
      <c r="J567" s="28" t="s">
        <v>1101</v>
      </c>
      <c r="K567" s="28"/>
      <c r="L567" s="28" t="s">
        <v>1814</v>
      </c>
      <c r="M567" s="28"/>
      <c r="N567" s="28" t="s">
        <v>1833</v>
      </c>
      <c r="O567" s="28" t="s">
        <v>1834</v>
      </c>
      <c r="P567" s="28"/>
    </row>
    <row r="568" customFormat="false" ht="15" hidden="false" customHeight="false" outlineLevel="0" collapsed="false">
      <c r="A568" s="28" t="s">
        <v>2079</v>
      </c>
      <c r="B568" s="28" t="s">
        <v>1466</v>
      </c>
      <c r="C568" s="28" t="s">
        <v>1467</v>
      </c>
      <c r="D568" s="28" t="s">
        <v>2076</v>
      </c>
      <c r="E568" s="28" t="s">
        <v>2077</v>
      </c>
      <c r="F568" s="32" t="n">
        <v>36.4</v>
      </c>
      <c r="G568" s="28" t="s">
        <v>108</v>
      </c>
      <c r="H568" s="28" t="s">
        <v>1820</v>
      </c>
      <c r="I568" s="28" t="s">
        <v>1343</v>
      </c>
      <c r="J568" s="28" t="s">
        <v>1343</v>
      </c>
      <c r="K568" s="28"/>
      <c r="L568" s="28" t="s">
        <v>1814</v>
      </c>
      <c r="M568" s="28"/>
      <c r="N568" s="28" t="s">
        <v>1821</v>
      </c>
      <c r="O568" s="28" t="s">
        <v>1822</v>
      </c>
      <c r="P568" s="28"/>
    </row>
    <row r="569" customFormat="false" ht="15" hidden="false" customHeight="false" outlineLevel="0" collapsed="false">
      <c r="A569" s="28" t="s">
        <v>2080</v>
      </c>
      <c r="B569" s="28" t="s">
        <v>1470</v>
      </c>
      <c r="C569" s="28" t="s">
        <v>1471</v>
      </c>
      <c r="D569" s="28" t="s">
        <v>2076</v>
      </c>
      <c r="E569" s="28" t="s">
        <v>2077</v>
      </c>
      <c r="F569" s="32" t="n">
        <v>3.46</v>
      </c>
      <c r="G569" s="28" t="s">
        <v>108</v>
      </c>
      <c r="H569" s="28" t="s">
        <v>2054</v>
      </c>
      <c r="I569" s="28" t="s">
        <v>1343</v>
      </c>
      <c r="J569" s="28" t="s">
        <v>1343</v>
      </c>
      <c r="K569" s="28"/>
      <c r="L569" s="28" t="s">
        <v>1814</v>
      </c>
      <c r="M569" s="28"/>
      <c r="N569" s="28" t="s">
        <v>2050</v>
      </c>
      <c r="O569" s="28" t="s">
        <v>2051</v>
      </c>
      <c r="P569" s="28"/>
    </row>
    <row r="570" customFormat="false" ht="15" hidden="false" customHeight="false" outlineLevel="0" collapsed="false">
      <c r="A570" s="28" t="s">
        <v>2081</v>
      </c>
      <c r="B570" s="28" t="s">
        <v>1466</v>
      </c>
      <c r="C570" s="28" t="s">
        <v>1467</v>
      </c>
      <c r="D570" s="28" t="s">
        <v>2076</v>
      </c>
      <c r="E570" s="28" t="s">
        <v>2077</v>
      </c>
      <c r="F570" s="32" t="n">
        <v>761.98</v>
      </c>
      <c r="G570" s="28" t="s">
        <v>108</v>
      </c>
      <c r="H570" s="28" t="s">
        <v>1824</v>
      </c>
      <c r="I570" s="28" t="s">
        <v>1101</v>
      </c>
      <c r="J570" s="28" t="s">
        <v>1101</v>
      </c>
      <c r="K570" s="28"/>
      <c r="L570" s="28" t="s">
        <v>1814</v>
      </c>
      <c r="M570" s="28"/>
      <c r="N570" s="28" t="s">
        <v>1821</v>
      </c>
      <c r="O570" s="28" t="s">
        <v>1822</v>
      </c>
      <c r="P570" s="28"/>
    </row>
    <row r="571" customFormat="false" ht="15" hidden="false" customHeight="false" outlineLevel="0" collapsed="false">
      <c r="A571" s="28" t="s">
        <v>2082</v>
      </c>
      <c r="B571" s="28" t="s">
        <v>1470</v>
      </c>
      <c r="C571" s="28" t="s">
        <v>1471</v>
      </c>
      <c r="D571" s="28" t="s">
        <v>2076</v>
      </c>
      <c r="E571" s="28" t="s">
        <v>2077</v>
      </c>
      <c r="F571" s="32" t="n">
        <v>36.46</v>
      </c>
      <c r="G571" s="28" t="s">
        <v>108</v>
      </c>
      <c r="H571" s="28" t="s">
        <v>1836</v>
      </c>
      <c r="I571" s="28" t="s">
        <v>1343</v>
      </c>
      <c r="J571" s="28" t="s">
        <v>1343</v>
      </c>
      <c r="K571" s="28"/>
      <c r="L571" s="28" t="s">
        <v>1814</v>
      </c>
      <c r="M571" s="28"/>
      <c r="N571" s="28" t="s">
        <v>1833</v>
      </c>
      <c r="O571" s="28" t="s">
        <v>1834</v>
      </c>
      <c r="P571" s="28"/>
    </row>
    <row r="572" customFormat="false" ht="15" hidden="false" customHeight="false" outlineLevel="0" collapsed="false">
      <c r="A572" s="28" t="s">
        <v>2083</v>
      </c>
      <c r="B572" s="28" t="s">
        <v>1470</v>
      </c>
      <c r="C572" s="28" t="s">
        <v>1471</v>
      </c>
      <c r="D572" s="28" t="s">
        <v>2076</v>
      </c>
      <c r="E572" s="28" t="s">
        <v>2077</v>
      </c>
      <c r="F572" s="32" t="n">
        <v>3.56</v>
      </c>
      <c r="G572" s="28" t="s">
        <v>108</v>
      </c>
      <c r="H572" s="28" t="s">
        <v>2049</v>
      </c>
      <c r="I572" s="28" t="s">
        <v>1101</v>
      </c>
      <c r="J572" s="28" t="s">
        <v>1101</v>
      </c>
      <c r="K572" s="28"/>
      <c r="L572" s="28" t="s">
        <v>1814</v>
      </c>
      <c r="M572" s="28"/>
      <c r="N572" s="28" t="s">
        <v>2050</v>
      </c>
      <c r="O572" s="28" t="s">
        <v>2051</v>
      </c>
      <c r="P572" s="28"/>
    </row>
    <row r="573" customFormat="false" ht="15" hidden="false" customHeight="false" outlineLevel="0" collapsed="false">
      <c r="A573" s="28" t="s">
        <v>2084</v>
      </c>
      <c r="B573" s="28" t="s">
        <v>1470</v>
      </c>
      <c r="C573" s="28" t="s">
        <v>1471</v>
      </c>
      <c r="D573" s="28" t="s">
        <v>2076</v>
      </c>
      <c r="E573" s="28" t="s">
        <v>2077</v>
      </c>
      <c r="F573" s="32" t="n">
        <v>46.88</v>
      </c>
      <c r="G573" s="28" t="s">
        <v>108</v>
      </c>
      <c r="H573" s="28" t="s">
        <v>1826</v>
      </c>
      <c r="I573" s="28" t="s">
        <v>1101</v>
      </c>
      <c r="J573" s="28" t="s">
        <v>1101</v>
      </c>
      <c r="K573" s="28"/>
      <c r="L573" s="28" t="s">
        <v>1814</v>
      </c>
      <c r="M573" s="28"/>
      <c r="N573" s="28" t="s">
        <v>1827</v>
      </c>
      <c r="O573" s="28" t="s">
        <v>1828</v>
      </c>
      <c r="P573" s="28"/>
    </row>
    <row r="574" customFormat="false" ht="15" hidden="false" customHeight="false" outlineLevel="0" collapsed="false">
      <c r="A574" s="28" t="s">
        <v>2085</v>
      </c>
      <c r="B574" s="28" t="s">
        <v>1466</v>
      </c>
      <c r="C574" s="28" t="s">
        <v>1467</v>
      </c>
      <c r="D574" s="28" t="s">
        <v>2076</v>
      </c>
      <c r="E574" s="28" t="s">
        <v>2077</v>
      </c>
      <c r="F574" s="32" t="n">
        <v>111.14</v>
      </c>
      <c r="G574" s="28" t="s">
        <v>108</v>
      </c>
      <c r="H574" s="28" t="s">
        <v>1813</v>
      </c>
      <c r="I574" s="28" t="s">
        <v>1101</v>
      </c>
      <c r="J574" s="28" t="s">
        <v>1101</v>
      </c>
      <c r="K574" s="28"/>
      <c r="L574" s="28" t="s">
        <v>1814</v>
      </c>
      <c r="M574" s="28"/>
      <c r="N574" s="28" t="s">
        <v>1815</v>
      </c>
      <c r="O574" s="28" t="s">
        <v>1816</v>
      </c>
      <c r="P574" s="28"/>
    </row>
    <row r="575" customFormat="false" ht="15" hidden="false" customHeight="false" outlineLevel="0" collapsed="false">
      <c r="A575" s="28" t="s">
        <v>2086</v>
      </c>
      <c r="B575" s="28" t="s">
        <v>1466</v>
      </c>
      <c r="C575" s="28" t="s">
        <v>1467</v>
      </c>
      <c r="D575" s="28" t="s">
        <v>2076</v>
      </c>
      <c r="E575" s="28" t="s">
        <v>2077</v>
      </c>
      <c r="F575" s="32" t="n">
        <v>84.48</v>
      </c>
      <c r="G575" s="28" t="s">
        <v>108</v>
      </c>
      <c r="H575" s="28" t="s">
        <v>1818</v>
      </c>
      <c r="I575" s="28" t="s">
        <v>1343</v>
      </c>
      <c r="J575" s="28" t="s">
        <v>1343</v>
      </c>
      <c r="K575" s="28"/>
      <c r="L575" s="28" t="s">
        <v>1814</v>
      </c>
      <c r="M575" s="28"/>
      <c r="N575" s="28" t="s">
        <v>1815</v>
      </c>
      <c r="O575" s="28" t="s">
        <v>1816</v>
      </c>
      <c r="P575" s="28"/>
    </row>
    <row r="576" customFormat="false" ht="15" hidden="false" customHeight="false" outlineLevel="0" collapsed="false">
      <c r="A576" s="28" t="s">
        <v>2087</v>
      </c>
      <c r="B576" s="28" t="s">
        <v>1466</v>
      </c>
      <c r="C576" s="28" t="s">
        <v>1467</v>
      </c>
      <c r="D576" s="28" t="s">
        <v>2088</v>
      </c>
      <c r="E576" s="28" t="s">
        <v>2089</v>
      </c>
      <c r="F576" s="32" t="n">
        <v>-469.08</v>
      </c>
      <c r="G576" s="28" t="s">
        <v>108</v>
      </c>
      <c r="H576" s="28" t="s">
        <v>1634</v>
      </c>
      <c r="I576" s="28" t="s">
        <v>1499</v>
      </c>
      <c r="J576" s="28" t="s">
        <v>910</v>
      </c>
      <c r="K576" s="28" t="s">
        <v>2090</v>
      </c>
      <c r="L576" s="28" t="s">
        <v>1068</v>
      </c>
      <c r="M576" s="28" t="s">
        <v>1069</v>
      </c>
      <c r="N576" s="28"/>
      <c r="O576" s="28"/>
      <c r="P576" s="28"/>
    </row>
    <row r="577" customFormat="false" ht="15" hidden="false" customHeight="false" outlineLevel="0" collapsed="false">
      <c r="A577" s="28" t="s">
        <v>2091</v>
      </c>
      <c r="B577" s="28" t="s">
        <v>1466</v>
      </c>
      <c r="C577" s="28" t="s">
        <v>1467</v>
      </c>
      <c r="D577" s="28" t="s">
        <v>2088</v>
      </c>
      <c r="E577" s="28" t="s">
        <v>2089</v>
      </c>
      <c r="F577" s="32" t="n">
        <v>342</v>
      </c>
      <c r="G577" s="28" t="s">
        <v>108</v>
      </c>
      <c r="H577" s="28" t="s">
        <v>1840</v>
      </c>
      <c r="I577" s="28" t="s">
        <v>1499</v>
      </c>
      <c r="J577" s="28" t="s">
        <v>910</v>
      </c>
      <c r="K577" s="28" t="s">
        <v>2092</v>
      </c>
      <c r="L577" s="28" t="s">
        <v>1068</v>
      </c>
      <c r="M577" s="28" t="s">
        <v>1069</v>
      </c>
      <c r="N577" s="28"/>
      <c r="O577" s="28"/>
      <c r="P577" s="28"/>
    </row>
    <row r="578" customFormat="false" ht="15" hidden="false" customHeight="false" outlineLevel="0" collapsed="false">
      <c r="A578" s="28" t="s">
        <v>2093</v>
      </c>
      <c r="B578" s="28" t="s">
        <v>1470</v>
      </c>
      <c r="C578" s="28" t="s">
        <v>1471</v>
      </c>
      <c r="D578" s="28" t="s">
        <v>2088</v>
      </c>
      <c r="E578" s="28" t="s">
        <v>2089</v>
      </c>
      <c r="F578" s="32" t="n">
        <v>400</v>
      </c>
      <c r="G578" s="28" t="s">
        <v>108</v>
      </c>
      <c r="H578" s="28" t="s">
        <v>2094</v>
      </c>
      <c r="I578" s="28" t="s">
        <v>1026</v>
      </c>
      <c r="J578" s="28" t="s">
        <v>1343</v>
      </c>
      <c r="K578" s="28" t="s">
        <v>2095</v>
      </c>
      <c r="L578" s="28" t="s">
        <v>1068</v>
      </c>
      <c r="M578" s="28" t="s">
        <v>1069</v>
      </c>
      <c r="N578" s="28"/>
      <c r="O578" s="28"/>
      <c r="P578" s="28"/>
    </row>
    <row r="579" customFormat="false" ht="15" hidden="false" customHeight="false" outlineLevel="0" collapsed="false">
      <c r="A579" s="28" t="s">
        <v>2096</v>
      </c>
      <c r="B579" s="28" t="s">
        <v>1466</v>
      </c>
      <c r="C579" s="28" t="s">
        <v>1467</v>
      </c>
      <c r="D579" s="28" t="s">
        <v>2088</v>
      </c>
      <c r="E579" s="28" t="s">
        <v>2089</v>
      </c>
      <c r="F579" s="32" t="n">
        <v>469.08</v>
      </c>
      <c r="G579" s="28" t="s">
        <v>108</v>
      </c>
      <c r="H579" s="28" t="s">
        <v>1840</v>
      </c>
      <c r="I579" s="28" t="s">
        <v>1499</v>
      </c>
      <c r="J579" s="28" t="s">
        <v>910</v>
      </c>
      <c r="K579" s="28" t="s">
        <v>2090</v>
      </c>
      <c r="L579" s="28" t="s">
        <v>1068</v>
      </c>
      <c r="M579" s="28" t="s">
        <v>1069</v>
      </c>
      <c r="N579" s="28"/>
      <c r="O579" s="28"/>
      <c r="P579" s="28"/>
    </row>
    <row r="580" customFormat="false" ht="15" hidden="false" customHeight="false" outlineLevel="0" collapsed="false">
      <c r="A580" s="28" t="s">
        <v>2097</v>
      </c>
      <c r="B580" s="28" t="s">
        <v>1466</v>
      </c>
      <c r="C580" s="28" t="s">
        <v>1467</v>
      </c>
      <c r="D580" s="28" t="s">
        <v>2088</v>
      </c>
      <c r="E580" s="28" t="s">
        <v>2089</v>
      </c>
      <c r="F580" s="32" t="n">
        <v>342</v>
      </c>
      <c r="G580" s="28" t="s">
        <v>108</v>
      </c>
      <c r="H580" s="28" t="s">
        <v>1637</v>
      </c>
      <c r="I580" s="28" t="s">
        <v>1499</v>
      </c>
      <c r="J580" s="28" t="s">
        <v>910</v>
      </c>
      <c r="K580" s="28" t="s">
        <v>2092</v>
      </c>
      <c r="L580" s="28" t="s">
        <v>1068</v>
      </c>
      <c r="M580" s="28" t="s">
        <v>1069</v>
      </c>
      <c r="N580" s="28"/>
      <c r="O580" s="28"/>
      <c r="P580" s="28"/>
    </row>
    <row r="581" customFormat="false" ht="15" hidden="false" customHeight="false" outlineLevel="0" collapsed="false">
      <c r="A581" s="28" t="s">
        <v>2098</v>
      </c>
      <c r="B581" s="28" t="s">
        <v>1466</v>
      </c>
      <c r="C581" s="28" t="s">
        <v>1467</v>
      </c>
      <c r="D581" s="28" t="s">
        <v>2088</v>
      </c>
      <c r="E581" s="28" t="s">
        <v>2089</v>
      </c>
      <c r="F581" s="32" t="n">
        <v>-342</v>
      </c>
      <c r="G581" s="28" t="s">
        <v>108</v>
      </c>
      <c r="H581" s="28" t="s">
        <v>1634</v>
      </c>
      <c r="I581" s="28" t="s">
        <v>1499</v>
      </c>
      <c r="J581" s="28" t="s">
        <v>910</v>
      </c>
      <c r="K581" s="28" t="s">
        <v>2092</v>
      </c>
      <c r="L581" s="28" t="s">
        <v>1068</v>
      </c>
      <c r="M581" s="28" t="s">
        <v>1069</v>
      </c>
      <c r="N581" s="28"/>
      <c r="O581" s="28"/>
      <c r="P581" s="28"/>
    </row>
    <row r="582" customFormat="false" ht="15" hidden="false" customHeight="false" outlineLevel="0" collapsed="false">
      <c r="A582" s="28" t="s">
        <v>2099</v>
      </c>
      <c r="B582" s="28" t="s">
        <v>1466</v>
      </c>
      <c r="C582" s="28" t="s">
        <v>1467</v>
      </c>
      <c r="D582" s="28" t="s">
        <v>2088</v>
      </c>
      <c r="E582" s="28" t="s">
        <v>2089</v>
      </c>
      <c r="F582" s="32" t="n">
        <v>469.08</v>
      </c>
      <c r="G582" s="28" t="s">
        <v>108</v>
      </c>
      <c r="H582" s="28" t="s">
        <v>1637</v>
      </c>
      <c r="I582" s="28" t="s">
        <v>1499</v>
      </c>
      <c r="J582" s="28" t="s">
        <v>910</v>
      </c>
      <c r="K582" s="28" t="s">
        <v>2090</v>
      </c>
      <c r="L582" s="28" t="s">
        <v>1068</v>
      </c>
      <c r="M582" s="28" t="s">
        <v>1069</v>
      </c>
      <c r="N582" s="28"/>
      <c r="O582" s="28"/>
      <c r="P582" s="28"/>
    </row>
    <row r="583" customFormat="false" ht="15" hidden="false" customHeight="false" outlineLevel="0" collapsed="false">
      <c r="A583" s="28" t="s">
        <v>2100</v>
      </c>
      <c r="B583" s="28" t="s">
        <v>1466</v>
      </c>
      <c r="C583" s="28" t="s">
        <v>1467</v>
      </c>
      <c r="D583" s="28" t="s">
        <v>2101</v>
      </c>
      <c r="E583" s="28" t="s">
        <v>1435</v>
      </c>
      <c r="F583" s="32" t="n">
        <v>250</v>
      </c>
      <c r="G583" s="28" t="s">
        <v>108</v>
      </c>
      <c r="H583" s="28" t="s">
        <v>2102</v>
      </c>
      <c r="I583" s="28" t="s">
        <v>1031</v>
      </c>
      <c r="J583" s="28" t="s">
        <v>1260</v>
      </c>
      <c r="K583" s="28" t="s">
        <v>2103</v>
      </c>
      <c r="L583" s="28" t="s">
        <v>1068</v>
      </c>
      <c r="M583" s="28" t="s">
        <v>1069</v>
      </c>
      <c r="N583" s="28" t="s">
        <v>1983</v>
      </c>
      <c r="O583" s="28" t="s">
        <v>1822</v>
      </c>
      <c r="P583" s="28"/>
    </row>
    <row r="584" customFormat="false" ht="15" hidden="false" customHeight="false" outlineLevel="0" collapsed="false">
      <c r="A584" s="28" t="s">
        <v>2104</v>
      </c>
      <c r="B584" s="28" t="s">
        <v>1466</v>
      </c>
      <c r="C584" s="28" t="s">
        <v>1467</v>
      </c>
      <c r="D584" s="28" t="s">
        <v>2101</v>
      </c>
      <c r="E584" s="28" t="s">
        <v>1435</v>
      </c>
      <c r="F584" s="32" t="n">
        <v>-250</v>
      </c>
      <c r="G584" s="28" t="s">
        <v>108</v>
      </c>
      <c r="H584" s="28" t="s">
        <v>2034</v>
      </c>
      <c r="I584" s="28" t="s">
        <v>1126</v>
      </c>
      <c r="J584" s="28" t="s">
        <v>1126</v>
      </c>
      <c r="K584" s="28" t="s">
        <v>2032</v>
      </c>
      <c r="L584" s="28" t="s">
        <v>1068</v>
      </c>
      <c r="M584" s="28"/>
      <c r="N584" s="28" t="s">
        <v>1983</v>
      </c>
      <c r="O584" s="28" t="s">
        <v>1822</v>
      </c>
      <c r="P584" s="28"/>
    </row>
    <row r="585" customFormat="false" ht="15" hidden="false" customHeight="false" outlineLevel="0" collapsed="false">
      <c r="A585" s="28" t="s">
        <v>2105</v>
      </c>
      <c r="B585" s="28" t="s">
        <v>1466</v>
      </c>
      <c r="C585" s="28" t="s">
        <v>1467</v>
      </c>
      <c r="D585" s="28" t="s">
        <v>2101</v>
      </c>
      <c r="E585" s="28" t="s">
        <v>1435</v>
      </c>
      <c r="F585" s="32" t="n">
        <v>250</v>
      </c>
      <c r="G585" s="28" t="s">
        <v>108</v>
      </c>
      <c r="H585" s="28" t="s">
        <v>2106</v>
      </c>
      <c r="I585" s="28" t="s">
        <v>1126</v>
      </c>
      <c r="J585" s="28" t="s">
        <v>1126</v>
      </c>
      <c r="K585" s="28" t="s">
        <v>2107</v>
      </c>
      <c r="L585" s="28" t="s">
        <v>1068</v>
      </c>
      <c r="M585" s="28" t="s">
        <v>1069</v>
      </c>
      <c r="N585" s="28" t="s">
        <v>1983</v>
      </c>
      <c r="O585" s="28" t="s">
        <v>1822</v>
      </c>
      <c r="P585" s="28"/>
    </row>
    <row r="586" customFormat="false" ht="15" hidden="false" customHeight="false" outlineLevel="0" collapsed="false">
      <c r="A586" s="28" t="s">
        <v>2108</v>
      </c>
      <c r="B586" s="28" t="s">
        <v>1466</v>
      </c>
      <c r="C586" s="28" t="s">
        <v>1467</v>
      </c>
      <c r="D586" s="28" t="s">
        <v>2101</v>
      </c>
      <c r="E586" s="28" t="s">
        <v>1435</v>
      </c>
      <c r="F586" s="32" t="n">
        <v>-250</v>
      </c>
      <c r="G586" s="28" t="s">
        <v>108</v>
      </c>
      <c r="H586" s="28" t="s">
        <v>2031</v>
      </c>
      <c r="I586" s="28" t="s">
        <v>1260</v>
      </c>
      <c r="J586" s="28" t="s">
        <v>1260</v>
      </c>
      <c r="K586" s="28" t="s">
        <v>2032</v>
      </c>
      <c r="L586" s="28" t="s">
        <v>1068</v>
      </c>
      <c r="M586" s="28"/>
      <c r="N586" s="28" t="s">
        <v>1983</v>
      </c>
      <c r="O586" s="28" t="s">
        <v>1822</v>
      </c>
      <c r="P586" s="28"/>
    </row>
    <row r="587" customFormat="false" ht="15" hidden="false" customHeight="false" outlineLevel="0" collapsed="false">
      <c r="A587" s="28" t="s">
        <v>2109</v>
      </c>
      <c r="B587" s="28" t="s">
        <v>1466</v>
      </c>
      <c r="C587" s="28" t="s">
        <v>1467</v>
      </c>
      <c r="D587" s="28" t="s">
        <v>2110</v>
      </c>
      <c r="E587" s="28" t="s">
        <v>2111</v>
      </c>
      <c r="F587" s="32" t="n">
        <v>-250</v>
      </c>
      <c r="G587" s="28" t="s">
        <v>108</v>
      </c>
      <c r="H587" s="28" t="s">
        <v>2031</v>
      </c>
      <c r="I587" s="28" t="s">
        <v>1260</v>
      </c>
      <c r="J587" s="28" t="s">
        <v>1260</v>
      </c>
      <c r="K587" s="28" t="s">
        <v>2032</v>
      </c>
      <c r="L587" s="28" t="s">
        <v>1068</v>
      </c>
      <c r="M587" s="28"/>
      <c r="N587" s="28" t="s">
        <v>1983</v>
      </c>
      <c r="O587" s="28" t="s">
        <v>1822</v>
      </c>
      <c r="P587" s="28"/>
    </row>
    <row r="588" customFormat="false" ht="15" hidden="false" customHeight="false" outlineLevel="0" collapsed="false">
      <c r="A588" s="28" t="s">
        <v>2112</v>
      </c>
      <c r="B588" s="28" t="s">
        <v>1466</v>
      </c>
      <c r="C588" s="28" t="s">
        <v>1467</v>
      </c>
      <c r="D588" s="28" t="s">
        <v>2110</v>
      </c>
      <c r="E588" s="28" t="s">
        <v>2111</v>
      </c>
      <c r="F588" s="32" t="n">
        <v>250</v>
      </c>
      <c r="G588" s="28" t="s">
        <v>108</v>
      </c>
      <c r="H588" s="28" t="s">
        <v>2102</v>
      </c>
      <c r="I588" s="28" t="s">
        <v>1031</v>
      </c>
      <c r="J588" s="28" t="s">
        <v>1260</v>
      </c>
      <c r="K588" s="28" t="s">
        <v>2113</v>
      </c>
      <c r="L588" s="28" t="s">
        <v>1068</v>
      </c>
      <c r="M588" s="28" t="s">
        <v>1069</v>
      </c>
      <c r="N588" s="28" t="s">
        <v>2016</v>
      </c>
      <c r="O588" s="28" t="s">
        <v>2017</v>
      </c>
      <c r="P588" s="28"/>
    </row>
    <row r="592" customFormat="false" ht="15" hidden="false" customHeight="false" outlineLevel="0" collapsed="false">
      <c r="A592" s="33" t="s">
        <v>2114</v>
      </c>
      <c r="B592" s="33"/>
      <c r="C592" s="33"/>
      <c r="D592" s="33"/>
      <c r="E592" s="33"/>
      <c r="F592" s="33"/>
    </row>
    <row r="593" customFormat="false" ht="15" hidden="false" customHeight="false" outlineLevel="0" collapsed="false">
      <c r="A593" s="34" t="s">
        <v>2115</v>
      </c>
      <c r="B593" s="35" t="s">
        <v>2116</v>
      </c>
      <c r="C593" s="35" t="s">
        <v>2117</v>
      </c>
    </row>
    <row r="594" customFormat="false" ht="23.85" hidden="false" customHeight="false" outlineLevel="0" collapsed="false">
      <c r="A594" s="20" t="s">
        <v>887</v>
      </c>
      <c r="B594" s="32" t="n">
        <v>7808809.87</v>
      </c>
      <c r="C594" s="36" t="n">
        <v>0.517870773451517</v>
      </c>
    </row>
    <row r="595" customFormat="false" ht="15" hidden="false" customHeight="false" outlineLevel="0" collapsed="false">
      <c r="A595" s="20" t="s">
        <v>161</v>
      </c>
      <c r="B595" s="32" t="n">
        <v>2417825.46</v>
      </c>
      <c r="C595" s="36" t="n">
        <v>0.160347243931676</v>
      </c>
    </row>
    <row r="596" customFormat="false" ht="35.05" hidden="false" customHeight="false" outlineLevel="0" collapsed="false">
      <c r="A596" s="20" t="s">
        <v>932</v>
      </c>
      <c r="B596" s="32" t="n">
        <v>1956502.96</v>
      </c>
      <c r="C596" s="36" t="n">
        <v>0.129752896795191</v>
      </c>
    </row>
    <row r="597" customFormat="false" ht="35.05" hidden="false" customHeight="false" outlineLevel="0" collapsed="false">
      <c r="A597" s="20" t="s">
        <v>906</v>
      </c>
      <c r="B597" s="32" t="n">
        <v>836671.2</v>
      </c>
      <c r="C597" s="36" t="n">
        <v>0.0554870164188809</v>
      </c>
    </row>
    <row r="598" customFormat="false" ht="15" hidden="false" customHeight="false" outlineLevel="0" collapsed="false">
      <c r="A598" s="20" t="s">
        <v>924</v>
      </c>
      <c r="B598" s="32" t="n">
        <v>738030.31</v>
      </c>
      <c r="C598" s="36" t="n">
        <v>0.0489452725617922</v>
      </c>
    </row>
    <row r="599" customFormat="false" ht="23.85" hidden="false" customHeight="false" outlineLevel="0" collapsed="false">
      <c r="A599" s="20" t="s">
        <v>1467</v>
      </c>
      <c r="B599" s="32" t="n">
        <v>511628.08</v>
      </c>
      <c r="C599" s="36" t="n">
        <v>0.0339305520201012</v>
      </c>
    </row>
    <row r="600" customFormat="false" ht="23.85" hidden="false" customHeight="false" outlineLevel="0" collapsed="false">
      <c r="A600" s="20" t="s">
        <v>104</v>
      </c>
      <c r="B600" s="32" t="n">
        <v>471846.01</v>
      </c>
      <c r="C600" s="36" t="n">
        <v>0.0312922535209213</v>
      </c>
    </row>
    <row r="601" customFormat="false" ht="23.85" hidden="false" customHeight="false" outlineLevel="0" collapsed="false">
      <c r="A601" s="20" t="s">
        <v>1471</v>
      </c>
      <c r="B601" s="32" t="n">
        <v>220358.17</v>
      </c>
      <c r="C601" s="36" t="n">
        <v>0.0146138858333173</v>
      </c>
    </row>
    <row r="602" customFormat="false" ht="23.85" hidden="false" customHeight="false" outlineLevel="0" collapsed="false">
      <c r="A602" s="20" t="s">
        <v>1477</v>
      </c>
      <c r="B602" s="32" t="n">
        <v>65955.57</v>
      </c>
      <c r="C602" s="36" t="n">
        <v>0.00437409318679386</v>
      </c>
    </row>
    <row r="603" customFormat="false" ht="23.85" hidden="false" customHeight="false" outlineLevel="0" collapsed="false">
      <c r="A603" s="20" t="s">
        <v>916</v>
      </c>
      <c r="B603" s="32" t="n">
        <v>51056.61</v>
      </c>
      <c r="C603" s="36" t="n">
        <v>0.00338601227980884</v>
      </c>
    </row>
    <row r="604" customFormat="false" ht="15" hidden="false" customHeight="false" outlineLevel="0" collapsed="false">
      <c r="A604" s="37" t="s">
        <v>2118</v>
      </c>
      <c r="B604" s="38" t="n">
        <v>15078684.24</v>
      </c>
    </row>
  </sheetData>
  <mergeCells count="3">
    <mergeCell ref="A1:P1"/>
    <mergeCell ref="A2:P2"/>
    <mergeCell ref="A592:F5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4" min="4" style="0" width="45"/>
    <col collapsed="false" customWidth="true" hidden="false" outlineLevel="0" max="6" min="5" style="0" width="10"/>
    <col collapsed="false" customWidth="true" hidden="false" outlineLevel="0" max="7" min="7" style="0" width="18"/>
    <col collapsed="false" customWidth="true" hidden="false" outlineLevel="0" max="8" min="8" style="0" width="16"/>
    <col collapsed="false" customWidth="true" hidden="false" outlineLevel="0" max="9" min="9" style="0" width="30"/>
    <col collapsed="false" customWidth="true" hidden="false" outlineLevel="0" max="11" min="10" style="0" width="16"/>
    <col collapsed="false" customWidth="true" hidden="false" outlineLevel="0" max="13" min="12" style="0" width="18"/>
    <col collapsed="false" customWidth="true" hidden="false" outlineLevel="0" max="14" min="14" style="0" width="30"/>
    <col collapsed="false" customWidth="true" hidden="false" outlineLevel="0" max="15" min="15" style="0" width="14"/>
    <col collapsed="false" customWidth="true" hidden="false" outlineLevel="0" max="16" min="16" style="0" width="40"/>
  </cols>
  <sheetData>
    <row r="1" customFormat="false" ht="27.75" hidden="false" customHeight="true" outlineLevel="0" collapsed="false">
      <c r="A1" s="17" t="s">
        <v>2119</v>
      </c>
      <c r="B1" s="17"/>
      <c r="C1" s="17"/>
      <c r="D1" s="17"/>
      <c r="E1" s="17"/>
      <c r="F1" s="17"/>
      <c r="G1" s="17"/>
      <c r="H1" s="17"/>
      <c r="I1" s="17"/>
      <c r="J1" s="17"/>
      <c r="K1" s="17"/>
      <c r="L1" s="17"/>
      <c r="M1" s="17"/>
      <c r="N1" s="17"/>
      <c r="O1" s="17"/>
      <c r="P1" s="17"/>
    </row>
    <row r="2" customFormat="false" ht="30" hidden="false" customHeight="true" outlineLevel="0" collapsed="false">
      <c r="A2" s="18" t="s">
        <v>2120</v>
      </c>
      <c r="B2" s="18" t="s">
        <v>2121</v>
      </c>
      <c r="C2" s="18" t="s">
        <v>175</v>
      </c>
      <c r="D2" s="18" t="s">
        <v>2122</v>
      </c>
      <c r="E2" s="18" t="s">
        <v>2123</v>
      </c>
      <c r="F2" s="18" t="s">
        <v>2124</v>
      </c>
      <c r="G2" s="18" t="s">
        <v>2125</v>
      </c>
      <c r="H2" s="18" t="s">
        <v>2126</v>
      </c>
      <c r="I2" s="18" t="s">
        <v>2127</v>
      </c>
      <c r="J2" s="18" t="s">
        <v>2128</v>
      </c>
      <c r="K2" s="18" t="s">
        <v>2129</v>
      </c>
      <c r="L2" s="18" t="s">
        <v>2130</v>
      </c>
      <c r="M2" s="18" t="s">
        <v>2131</v>
      </c>
      <c r="N2" s="18" t="s">
        <v>193</v>
      </c>
      <c r="O2" s="18" t="s">
        <v>165</v>
      </c>
      <c r="P2" s="18" t="s">
        <v>228</v>
      </c>
    </row>
    <row r="3" customFormat="false" ht="15" hidden="false" customHeight="false" outlineLevel="0" collapsed="false">
      <c r="A3" s="19" t="s">
        <v>2132</v>
      </c>
      <c r="B3" s="19"/>
      <c r="C3" s="19"/>
      <c r="D3" s="19" t="s">
        <v>2133</v>
      </c>
      <c r="E3" s="19" t="n">
        <v>2</v>
      </c>
      <c r="F3" s="19" t="s">
        <v>2134</v>
      </c>
      <c r="G3" s="19" t="s">
        <v>2135</v>
      </c>
      <c r="H3" s="19"/>
      <c r="I3" s="19"/>
      <c r="J3" s="19" t="s">
        <v>2136</v>
      </c>
      <c r="K3" s="19"/>
      <c r="L3" s="19"/>
      <c r="M3" s="19" t="s">
        <v>2137</v>
      </c>
      <c r="N3" s="19"/>
      <c r="O3" s="19" t="s">
        <v>209</v>
      </c>
      <c r="P3" s="19" t="s">
        <v>2138</v>
      </c>
    </row>
    <row r="4" customFormat="false" ht="23.85" hidden="false" customHeight="false" outlineLevel="0" collapsed="false">
      <c r="A4" s="20" t="s">
        <v>2139</v>
      </c>
      <c r="B4" s="20"/>
      <c r="C4" s="20"/>
      <c r="D4" s="20" t="s">
        <v>2140</v>
      </c>
      <c r="E4" s="20" t="n">
        <v>1</v>
      </c>
      <c r="F4" s="20" t="s">
        <v>2141</v>
      </c>
      <c r="G4" s="20" t="s">
        <v>2142</v>
      </c>
      <c r="H4" s="20"/>
      <c r="I4" s="20" t="s">
        <v>808</v>
      </c>
      <c r="J4" s="20" t="s">
        <v>293</v>
      </c>
      <c r="K4" s="20"/>
      <c r="L4" s="20"/>
      <c r="M4" s="20" t="s">
        <v>2137</v>
      </c>
      <c r="N4" s="20"/>
      <c r="O4" s="20"/>
      <c r="P4" s="20" t="s">
        <v>2143</v>
      </c>
    </row>
    <row r="5" customFormat="false" ht="15" hidden="false" customHeight="false" outlineLevel="0" collapsed="false">
      <c r="A5" s="19" t="s">
        <v>2144</v>
      </c>
      <c r="B5" s="19"/>
      <c r="C5" s="19"/>
      <c r="D5" s="19" t="s">
        <v>2145</v>
      </c>
      <c r="E5" s="19" t="n">
        <v>1</v>
      </c>
      <c r="F5" s="19" t="s">
        <v>2141</v>
      </c>
      <c r="G5" s="19" t="s">
        <v>2146</v>
      </c>
      <c r="H5" s="19"/>
      <c r="I5" s="19"/>
      <c r="J5" s="19" t="s">
        <v>204</v>
      </c>
      <c r="K5" s="19"/>
      <c r="L5" s="19" t="s">
        <v>2147</v>
      </c>
      <c r="M5" s="19" t="s">
        <v>2137</v>
      </c>
      <c r="N5" s="19"/>
      <c r="O5" s="19" t="s">
        <v>195</v>
      </c>
      <c r="P5" s="19" t="s">
        <v>2148</v>
      </c>
    </row>
    <row r="6" customFormat="false" ht="15" hidden="false" customHeight="false" outlineLevel="0" collapsed="false">
      <c r="A6" s="20"/>
      <c r="B6" s="20"/>
      <c r="C6" s="20"/>
      <c r="D6" s="20"/>
      <c r="E6" s="20"/>
      <c r="F6" s="20"/>
      <c r="G6" s="20"/>
      <c r="H6" s="20"/>
      <c r="I6" s="20"/>
      <c r="J6" s="20"/>
      <c r="K6" s="20"/>
      <c r="L6" s="20"/>
      <c r="M6" s="20"/>
      <c r="N6" s="20"/>
      <c r="O6" s="20"/>
      <c r="P6" s="20"/>
    </row>
    <row r="7" customFormat="false" ht="15" hidden="false" customHeight="false" outlineLevel="0" collapsed="false">
      <c r="A7" s="20"/>
      <c r="B7" s="20"/>
      <c r="C7" s="20"/>
      <c r="D7" s="20"/>
      <c r="E7" s="20"/>
      <c r="F7" s="20"/>
      <c r="G7" s="20"/>
      <c r="H7" s="20"/>
      <c r="I7" s="20"/>
      <c r="J7" s="20"/>
      <c r="K7" s="20"/>
      <c r="L7" s="20"/>
      <c r="M7" s="20"/>
      <c r="N7" s="20"/>
      <c r="O7" s="20"/>
      <c r="P7" s="20"/>
    </row>
    <row r="8" customFormat="false" ht="15" hidden="false" customHeight="false" outlineLevel="0" collapsed="false">
      <c r="A8" s="20"/>
      <c r="B8" s="20"/>
      <c r="C8" s="20"/>
      <c r="D8" s="20"/>
      <c r="E8" s="20"/>
      <c r="F8" s="20"/>
      <c r="G8" s="20"/>
      <c r="H8" s="20"/>
      <c r="I8" s="20"/>
      <c r="J8" s="20"/>
      <c r="K8" s="20"/>
      <c r="L8" s="20"/>
      <c r="M8" s="20"/>
      <c r="N8" s="20"/>
      <c r="O8" s="20"/>
      <c r="P8" s="20"/>
    </row>
    <row r="9" customFormat="false" ht="15" hidden="false" customHeight="false" outlineLevel="0" collapsed="false">
      <c r="A9" s="20"/>
      <c r="B9" s="20"/>
      <c r="C9" s="20"/>
      <c r="D9" s="20"/>
      <c r="E9" s="20"/>
      <c r="F9" s="20"/>
      <c r="G9" s="20"/>
      <c r="H9" s="20"/>
      <c r="I9" s="20"/>
      <c r="J9" s="20"/>
      <c r="K9" s="20"/>
      <c r="L9" s="20"/>
      <c r="M9" s="20"/>
      <c r="N9" s="20"/>
      <c r="O9" s="20"/>
      <c r="P9" s="20"/>
    </row>
    <row r="10" customFormat="false" ht="15" hidden="false" customHeight="false" outlineLevel="0" collapsed="false">
      <c r="A10" s="20"/>
      <c r="B10" s="20"/>
      <c r="C10" s="20"/>
      <c r="D10" s="20"/>
      <c r="E10" s="20"/>
      <c r="F10" s="20"/>
      <c r="G10" s="20"/>
      <c r="H10" s="20"/>
      <c r="I10" s="20"/>
      <c r="J10" s="20"/>
      <c r="K10" s="20"/>
      <c r="L10" s="20"/>
      <c r="M10" s="20"/>
      <c r="N10" s="20"/>
      <c r="O10" s="20"/>
      <c r="P10" s="20"/>
    </row>
    <row r="11" customFormat="false" ht="15" hidden="false" customHeight="false" outlineLevel="0" collapsed="false">
      <c r="A11" s="20"/>
      <c r="B11" s="20"/>
      <c r="C11" s="20"/>
      <c r="D11" s="20"/>
      <c r="E11" s="20"/>
      <c r="F11" s="20"/>
      <c r="G11" s="20"/>
      <c r="H11" s="20"/>
      <c r="I11" s="20"/>
      <c r="J11" s="20"/>
      <c r="K11" s="20"/>
      <c r="L11" s="20"/>
      <c r="M11" s="20"/>
      <c r="N11" s="20"/>
      <c r="O11" s="20"/>
      <c r="P11" s="20"/>
    </row>
    <row r="12" customFormat="false" ht="15" hidden="false" customHeight="false" outlineLevel="0" collapsed="false">
      <c r="A12" s="20"/>
      <c r="B12" s="20"/>
      <c r="C12" s="20"/>
      <c r="D12" s="20"/>
      <c r="E12" s="20"/>
      <c r="F12" s="20"/>
      <c r="G12" s="20"/>
      <c r="H12" s="20"/>
      <c r="I12" s="20"/>
      <c r="J12" s="20"/>
      <c r="K12" s="20"/>
      <c r="L12" s="20"/>
      <c r="M12" s="20"/>
      <c r="N12" s="20"/>
      <c r="O12" s="20"/>
      <c r="P12" s="20"/>
    </row>
    <row r="13" customFormat="false" ht="15" hidden="false" customHeight="false" outlineLevel="0" collapsed="false">
      <c r="A13" s="20"/>
      <c r="B13" s="20"/>
      <c r="C13" s="20"/>
      <c r="D13" s="20"/>
      <c r="E13" s="20"/>
      <c r="F13" s="20"/>
      <c r="G13" s="20"/>
      <c r="H13" s="20"/>
      <c r="I13" s="20"/>
      <c r="J13" s="20"/>
      <c r="K13" s="20"/>
      <c r="L13" s="20"/>
      <c r="M13" s="20"/>
      <c r="N13" s="20"/>
      <c r="O13" s="20"/>
      <c r="P13" s="20"/>
    </row>
    <row r="14" customFormat="false" ht="15" hidden="false" customHeight="false" outlineLevel="0" collapsed="false">
      <c r="A14" s="20"/>
      <c r="B14" s="20"/>
      <c r="C14" s="20"/>
      <c r="D14" s="20"/>
      <c r="E14" s="20"/>
      <c r="F14" s="20"/>
      <c r="G14" s="20"/>
      <c r="H14" s="20"/>
      <c r="I14" s="20"/>
      <c r="J14" s="20"/>
      <c r="K14" s="20"/>
      <c r="L14" s="20"/>
      <c r="M14" s="20"/>
      <c r="N14" s="20"/>
      <c r="O14" s="20"/>
      <c r="P14" s="20"/>
    </row>
    <row r="15" customFormat="false" ht="15" hidden="false" customHeight="false" outlineLevel="0" collapsed="false">
      <c r="A15" s="20"/>
      <c r="B15" s="20"/>
      <c r="C15" s="20"/>
      <c r="D15" s="20"/>
      <c r="E15" s="20"/>
      <c r="F15" s="20"/>
      <c r="G15" s="20"/>
      <c r="H15" s="20"/>
      <c r="I15" s="20"/>
      <c r="J15" s="20"/>
      <c r="K15" s="20"/>
      <c r="L15" s="20"/>
      <c r="M15" s="20"/>
      <c r="N15" s="20"/>
      <c r="O15" s="20"/>
      <c r="P15" s="20"/>
    </row>
    <row r="16" customFormat="false" ht="15" hidden="false" customHeight="false" outlineLevel="0" collapsed="false">
      <c r="A16" s="20"/>
      <c r="B16" s="20"/>
      <c r="C16" s="20"/>
      <c r="D16" s="20"/>
      <c r="E16" s="20"/>
      <c r="F16" s="20"/>
      <c r="G16" s="20"/>
      <c r="H16" s="20"/>
      <c r="I16" s="20"/>
      <c r="J16" s="20"/>
      <c r="K16" s="20"/>
      <c r="L16" s="20"/>
      <c r="M16" s="20"/>
      <c r="N16" s="20"/>
      <c r="O16" s="20"/>
      <c r="P16" s="20"/>
    </row>
    <row r="17" customFormat="false" ht="15" hidden="false" customHeight="false" outlineLevel="0" collapsed="false">
      <c r="A17" s="20"/>
      <c r="B17" s="20"/>
      <c r="C17" s="20"/>
      <c r="D17" s="20"/>
      <c r="E17" s="20"/>
      <c r="F17" s="20"/>
      <c r="G17" s="20"/>
      <c r="H17" s="20"/>
      <c r="I17" s="20"/>
      <c r="J17" s="20"/>
      <c r="K17" s="20"/>
      <c r="L17" s="20"/>
      <c r="M17" s="20"/>
      <c r="N17" s="20"/>
      <c r="O17" s="20"/>
      <c r="P17" s="20"/>
    </row>
    <row r="18" customFormat="false" ht="15" hidden="false" customHeight="false" outlineLevel="0" collapsed="false">
      <c r="A18" s="20"/>
      <c r="B18" s="20"/>
      <c r="C18" s="20"/>
      <c r="D18" s="20"/>
      <c r="E18" s="20"/>
      <c r="F18" s="20"/>
      <c r="G18" s="20"/>
      <c r="H18" s="20"/>
      <c r="I18" s="20"/>
      <c r="J18" s="20"/>
      <c r="K18" s="20"/>
      <c r="L18" s="20"/>
      <c r="M18" s="20"/>
      <c r="N18" s="20"/>
      <c r="O18" s="20"/>
      <c r="P18" s="20"/>
    </row>
    <row r="19" customFormat="false" ht="15" hidden="false" customHeight="false" outlineLevel="0" collapsed="false">
      <c r="A19" s="20"/>
      <c r="B19" s="20"/>
      <c r="C19" s="20"/>
      <c r="D19" s="20"/>
      <c r="E19" s="20"/>
      <c r="F19" s="20"/>
      <c r="G19" s="20"/>
      <c r="H19" s="20"/>
      <c r="I19" s="20"/>
      <c r="J19" s="20"/>
      <c r="K19" s="20"/>
      <c r="L19" s="20"/>
      <c r="M19" s="20"/>
      <c r="N19" s="20"/>
      <c r="O19" s="20"/>
      <c r="P19" s="20"/>
    </row>
    <row r="20" customFormat="false" ht="15" hidden="false" customHeight="false" outlineLevel="0" collapsed="false">
      <c r="A20" s="20"/>
      <c r="B20" s="20"/>
      <c r="C20" s="20"/>
      <c r="D20" s="20"/>
      <c r="E20" s="20"/>
      <c r="F20" s="20"/>
      <c r="G20" s="20"/>
      <c r="H20" s="20"/>
      <c r="I20" s="20"/>
      <c r="J20" s="20"/>
      <c r="K20" s="20"/>
      <c r="L20" s="20"/>
      <c r="M20" s="20"/>
      <c r="N20" s="20"/>
      <c r="O20" s="20"/>
      <c r="P20" s="20"/>
    </row>
    <row r="21" customFormat="false" ht="15" hidden="false" customHeight="false" outlineLevel="0" collapsed="false">
      <c r="A21" s="20"/>
      <c r="B21" s="20"/>
      <c r="C21" s="20"/>
      <c r="D21" s="20"/>
      <c r="E21" s="20"/>
      <c r="F21" s="20"/>
      <c r="G21" s="20"/>
      <c r="H21" s="20"/>
      <c r="I21" s="20"/>
      <c r="J21" s="20"/>
      <c r="K21" s="20"/>
      <c r="L21" s="20"/>
      <c r="M21" s="20"/>
      <c r="N21" s="20"/>
      <c r="O21" s="20"/>
      <c r="P21" s="20"/>
    </row>
    <row r="22" customFormat="false" ht="15" hidden="false" customHeight="false" outlineLevel="0" collapsed="false">
      <c r="A22" s="20"/>
      <c r="B22" s="20"/>
      <c r="C22" s="20"/>
      <c r="D22" s="20"/>
      <c r="E22" s="20"/>
      <c r="F22" s="20"/>
      <c r="G22" s="20"/>
      <c r="H22" s="20"/>
      <c r="I22" s="20"/>
      <c r="J22" s="20"/>
      <c r="K22" s="20"/>
      <c r="L22" s="20"/>
      <c r="M22" s="20"/>
      <c r="N22" s="20"/>
      <c r="O22" s="20"/>
      <c r="P22" s="20"/>
    </row>
    <row r="23" customFormat="false" ht="15" hidden="false" customHeight="false" outlineLevel="0" collapsed="false">
      <c r="A23" s="20"/>
      <c r="B23" s="20"/>
      <c r="C23" s="20"/>
      <c r="D23" s="20"/>
      <c r="E23" s="20"/>
      <c r="F23" s="20"/>
      <c r="G23" s="20"/>
      <c r="H23" s="20"/>
      <c r="I23" s="20"/>
      <c r="J23" s="20"/>
      <c r="K23" s="20"/>
      <c r="L23" s="20"/>
      <c r="M23" s="20"/>
      <c r="N23" s="20"/>
      <c r="O23" s="20"/>
      <c r="P23" s="20"/>
    </row>
    <row r="24" customFormat="false" ht="15" hidden="false" customHeight="false" outlineLevel="0" collapsed="false">
      <c r="A24" s="20"/>
      <c r="B24" s="20"/>
      <c r="C24" s="20"/>
      <c r="D24" s="20"/>
      <c r="E24" s="20"/>
      <c r="F24" s="20"/>
      <c r="G24" s="20"/>
      <c r="H24" s="20"/>
      <c r="I24" s="20"/>
      <c r="J24" s="20"/>
      <c r="K24" s="20"/>
      <c r="L24" s="20"/>
      <c r="M24" s="20"/>
      <c r="N24" s="20"/>
      <c r="O24" s="20"/>
      <c r="P24" s="20"/>
    </row>
    <row r="25" customFormat="false" ht="15" hidden="false" customHeight="false" outlineLevel="0" collapsed="false">
      <c r="A25" s="20"/>
      <c r="B25" s="20"/>
      <c r="C25" s="20"/>
      <c r="D25" s="20"/>
      <c r="E25" s="20"/>
      <c r="F25" s="20"/>
      <c r="G25" s="20"/>
      <c r="H25" s="20"/>
      <c r="I25" s="20"/>
      <c r="J25" s="20"/>
      <c r="K25" s="20"/>
      <c r="L25" s="20"/>
      <c r="M25" s="20"/>
      <c r="N25" s="20"/>
      <c r="O25" s="20"/>
      <c r="P25" s="20"/>
    </row>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R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8"/>
    <col collapsed="false" customWidth="true" hidden="false" outlineLevel="0" max="7" min="7" style="0" width="8"/>
    <col collapsed="false" customWidth="true" hidden="false" outlineLevel="0" max="8" min="8" style="0" width="10"/>
    <col collapsed="false" customWidth="true" hidden="false" outlineLevel="0" max="9" min="9" style="0" width="24"/>
    <col collapsed="false" customWidth="true" hidden="false" outlineLevel="0" max="11" min="10" style="0" width="50"/>
    <col collapsed="false" customWidth="true" hidden="false" outlineLevel="0" max="12" min="12" style="0" width="60"/>
    <col collapsed="false" customWidth="true" hidden="false" outlineLevel="0" max="13" min="13" style="0" width="12"/>
    <col collapsed="false" customWidth="true" hidden="false" outlineLevel="0" max="14" min="14" style="0" width="16"/>
    <col collapsed="false" customWidth="true" hidden="false" outlineLevel="0" max="17" min="15" style="0" width="14"/>
    <col collapsed="false" customWidth="true" hidden="false" outlineLevel="0" max="18" min="18" style="0" width="30"/>
  </cols>
  <sheetData>
    <row r="1" customFormat="false" ht="27.75" hidden="false" customHeight="true" outlineLevel="0" collapsed="false">
      <c r="A1" s="17" t="s">
        <v>2149</v>
      </c>
      <c r="B1" s="17"/>
      <c r="C1" s="17"/>
      <c r="D1" s="17"/>
      <c r="E1" s="17"/>
      <c r="F1" s="17"/>
      <c r="G1" s="17"/>
      <c r="H1" s="17"/>
      <c r="I1" s="17"/>
      <c r="J1" s="17"/>
      <c r="K1" s="17"/>
      <c r="L1" s="17"/>
      <c r="M1" s="17"/>
      <c r="N1" s="17"/>
      <c r="O1" s="17"/>
      <c r="P1" s="17"/>
      <c r="Q1" s="17"/>
      <c r="R1" s="17"/>
    </row>
    <row r="2" customFormat="false" ht="15" hidden="false" customHeight="false" outlineLevel="0" collapsed="false">
      <c r="A2" s="31" t="s">
        <v>2150</v>
      </c>
      <c r="B2" s="31"/>
      <c r="C2" s="31"/>
      <c r="D2" s="31"/>
      <c r="E2" s="31"/>
      <c r="F2" s="31"/>
      <c r="G2" s="31"/>
      <c r="H2" s="31"/>
      <c r="I2" s="31"/>
      <c r="J2" s="31"/>
      <c r="K2" s="31"/>
      <c r="L2" s="31"/>
      <c r="M2" s="31"/>
      <c r="N2" s="31"/>
      <c r="O2" s="31"/>
      <c r="P2" s="31"/>
      <c r="Q2" s="31"/>
      <c r="R2" s="31"/>
    </row>
    <row r="3" customFormat="false" ht="30" hidden="false" customHeight="true" outlineLevel="0" collapsed="false">
      <c r="A3" s="18" t="s">
        <v>2151</v>
      </c>
      <c r="B3" s="18" t="s">
        <v>2152</v>
      </c>
      <c r="C3" s="18" t="s">
        <v>2153</v>
      </c>
      <c r="D3" s="18" t="s">
        <v>167</v>
      </c>
      <c r="E3" s="18" t="s">
        <v>2154</v>
      </c>
      <c r="F3" s="18" t="s">
        <v>274</v>
      </c>
      <c r="G3" s="18" t="s">
        <v>2155</v>
      </c>
      <c r="H3" s="18" t="s">
        <v>2156</v>
      </c>
      <c r="I3" s="18" t="s">
        <v>2157</v>
      </c>
      <c r="J3" s="18" t="s">
        <v>2158</v>
      </c>
      <c r="K3" s="18" t="s">
        <v>2159</v>
      </c>
      <c r="L3" s="18" t="s">
        <v>223</v>
      </c>
      <c r="M3" s="18" t="s">
        <v>173</v>
      </c>
      <c r="N3" s="18" t="s">
        <v>174</v>
      </c>
      <c r="O3" s="18" t="s">
        <v>225</v>
      </c>
      <c r="P3" s="18" t="s">
        <v>189</v>
      </c>
      <c r="Q3" s="18" t="s">
        <v>2160</v>
      </c>
      <c r="R3" s="18" t="s">
        <v>228</v>
      </c>
    </row>
    <row r="4" customFormat="false" ht="15" hidden="false" customHeight="false" outlineLevel="0" collapsed="false">
      <c r="A4" s="28" t="s">
        <v>2161</v>
      </c>
      <c r="B4" s="28" t="s">
        <v>2162</v>
      </c>
      <c r="C4" s="28" t="s">
        <v>2163</v>
      </c>
      <c r="D4" s="28" t="s">
        <v>102</v>
      </c>
      <c r="E4" s="28"/>
      <c r="F4" s="28" t="s">
        <v>364</v>
      </c>
      <c r="G4" s="28"/>
      <c r="H4" s="28"/>
      <c r="I4" s="28" t="s">
        <v>2164</v>
      </c>
      <c r="J4" s="28" t="s">
        <v>2165</v>
      </c>
      <c r="K4" s="28" t="s">
        <v>2166</v>
      </c>
      <c r="L4" s="28" t="s">
        <v>371</v>
      </c>
      <c r="M4" s="28" t="s">
        <v>111</v>
      </c>
      <c r="N4" s="28" t="s">
        <v>201</v>
      </c>
      <c r="O4" s="28" t="s">
        <v>293</v>
      </c>
      <c r="P4" s="28" t="s">
        <v>101</v>
      </c>
      <c r="Q4" s="28"/>
      <c r="R4" s="28" t="s">
        <v>2167</v>
      </c>
    </row>
    <row r="5" customFormat="false" ht="15" hidden="false" customHeight="false" outlineLevel="0" collapsed="false">
      <c r="A5" s="28" t="s">
        <v>2168</v>
      </c>
      <c r="B5" s="28" t="s">
        <v>2162</v>
      </c>
      <c r="C5" s="28" t="s">
        <v>2163</v>
      </c>
      <c r="D5" s="28" t="s">
        <v>102</v>
      </c>
      <c r="E5" s="28"/>
      <c r="F5" s="28" t="s">
        <v>375</v>
      </c>
      <c r="G5" s="28"/>
      <c r="H5" s="28"/>
      <c r="I5" s="28" t="s">
        <v>2164</v>
      </c>
      <c r="J5" s="28" t="s">
        <v>2165</v>
      </c>
      <c r="K5" s="28" t="s">
        <v>2166</v>
      </c>
      <c r="L5" s="28" t="s">
        <v>371</v>
      </c>
      <c r="M5" s="28" t="s">
        <v>111</v>
      </c>
      <c r="N5" s="28" t="s">
        <v>201</v>
      </c>
      <c r="O5" s="28" t="s">
        <v>293</v>
      </c>
      <c r="P5" s="28" t="s">
        <v>101</v>
      </c>
      <c r="Q5" s="28"/>
      <c r="R5" s="28" t="s">
        <v>2169</v>
      </c>
    </row>
    <row r="6" customFormat="false" ht="15" hidden="false" customHeight="false" outlineLevel="0" collapsed="false">
      <c r="A6" s="28" t="s">
        <v>2170</v>
      </c>
      <c r="B6" s="28" t="s">
        <v>2162</v>
      </c>
      <c r="C6" s="28" t="s">
        <v>2163</v>
      </c>
      <c r="D6" s="28" t="s">
        <v>102</v>
      </c>
      <c r="E6" s="28"/>
      <c r="F6" s="28" t="s">
        <v>381</v>
      </c>
      <c r="G6" s="28"/>
      <c r="H6" s="28"/>
      <c r="I6" s="28" t="s">
        <v>2164</v>
      </c>
      <c r="J6" s="28" t="s">
        <v>2165</v>
      </c>
      <c r="K6" s="28" t="s">
        <v>2166</v>
      </c>
      <c r="L6" s="28" t="s">
        <v>371</v>
      </c>
      <c r="M6" s="28" t="s">
        <v>111</v>
      </c>
      <c r="N6" s="28" t="s">
        <v>201</v>
      </c>
      <c r="O6" s="28" t="s">
        <v>293</v>
      </c>
      <c r="P6" s="28" t="s">
        <v>101</v>
      </c>
      <c r="Q6" s="28"/>
      <c r="R6" s="28" t="s">
        <v>2171</v>
      </c>
    </row>
    <row r="7" customFormat="false" ht="15" hidden="false" customHeight="false" outlineLevel="0" collapsed="false">
      <c r="A7" s="28" t="s">
        <v>2172</v>
      </c>
      <c r="B7" s="28" t="s">
        <v>2162</v>
      </c>
      <c r="C7" s="28" t="s">
        <v>2163</v>
      </c>
      <c r="D7" s="28" t="s">
        <v>102</v>
      </c>
      <c r="E7" s="28"/>
      <c r="F7" s="28" t="s">
        <v>385</v>
      </c>
      <c r="G7" s="28"/>
      <c r="H7" s="28"/>
      <c r="I7" s="28" t="s">
        <v>2164</v>
      </c>
      <c r="J7" s="28" t="s">
        <v>2165</v>
      </c>
      <c r="K7" s="28" t="s">
        <v>2166</v>
      </c>
      <c r="L7" s="28" t="s">
        <v>371</v>
      </c>
      <c r="M7" s="28" t="s">
        <v>111</v>
      </c>
      <c r="N7" s="28" t="s">
        <v>201</v>
      </c>
      <c r="O7" s="28" t="s">
        <v>293</v>
      </c>
      <c r="P7" s="28" t="s">
        <v>101</v>
      </c>
      <c r="Q7" s="28"/>
      <c r="R7" s="28" t="s">
        <v>2173</v>
      </c>
    </row>
    <row r="8" customFormat="false" ht="15" hidden="false" customHeight="false" outlineLevel="0" collapsed="false">
      <c r="A8" s="28" t="s">
        <v>2174</v>
      </c>
      <c r="B8" s="28" t="s">
        <v>2162</v>
      </c>
      <c r="C8" s="28" t="s">
        <v>2163</v>
      </c>
      <c r="D8" s="28" t="s">
        <v>102</v>
      </c>
      <c r="E8" s="28"/>
      <c r="F8" s="28" t="s">
        <v>391</v>
      </c>
      <c r="G8" s="28"/>
      <c r="H8" s="28"/>
      <c r="I8" s="28" t="s">
        <v>2164</v>
      </c>
      <c r="J8" s="28" t="s">
        <v>2165</v>
      </c>
      <c r="K8" s="28" t="s">
        <v>2166</v>
      </c>
      <c r="L8" s="28" t="s">
        <v>371</v>
      </c>
      <c r="M8" s="28" t="s">
        <v>111</v>
      </c>
      <c r="N8" s="28" t="s">
        <v>201</v>
      </c>
      <c r="O8" s="28" t="s">
        <v>293</v>
      </c>
      <c r="P8" s="28" t="s">
        <v>101</v>
      </c>
      <c r="Q8" s="28"/>
      <c r="R8" s="28" t="s">
        <v>2175</v>
      </c>
    </row>
    <row r="9" customFormat="false" ht="15" hidden="false" customHeight="false" outlineLevel="0" collapsed="false">
      <c r="A9" s="28" t="s">
        <v>2176</v>
      </c>
      <c r="B9" s="28" t="s">
        <v>2162</v>
      </c>
      <c r="C9" s="28" t="s">
        <v>2163</v>
      </c>
      <c r="D9" s="28" t="s">
        <v>102</v>
      </c>
      <c r="E9" s="28"/>
      <c r="F9" s="28" t="s">
        <v>395</v>
      </c>
      <c r="G9" s="28"/>
      <c r="H9" s="28"/>
      <c r="I9" s="28" t="s">
        <v>2164</v>
      </c>
      <c r="J9" s="28" t="s">
        <v>2165</v>
      </c>
      <c r="K9" s="28" t="s">
        <v>2166</v>
      </c>
      <c r="L9" s="28" t="s">
        <v>371</v>
      </c>
      <c r="M9" s="28" t="s">
        <v>111</v>
      </c>
      <c r="N9" s="28" t="s">
        <v>201</v>
      </c>
      <c r="O9" s="28" t="s">
        <v>293</v>
      </c>
      <c r="P9" s="28" t="s">
        <v>101</v>
      </c>
      <c r="Q9" s="28"/>
      <c r="R9" s="28" t="s">
        <v>2177</v>
      </c>
    </row>
    <row r="10" customFormat="false" ht="15" hidden="false" customHeight="false" outlineLevel="0" collapsed="false">
      <c r="A10" s="28" t="s">
        <v>2178</v>
      </c>
      <c r="B10" s="28" t="s">
        <v>2162</v>
      </c>
      <c r="C10" s="28" t="s">
        <v>2163</v>
      </c>
      <c r="D10" s="28" t="s">
        <v>102</v>
      </c>
      <c r="E10" s="28"/>
      <c r="F10" s="28" t="s">
        <v>399</v>
      </c>
      <c r="G10" s="28"/>
      <c r="H10" s="28"/>
      <c r="I10" s="28" t="s">
        <v>2164</v>
      </c>
      <c r="J10" s="28" t="s">
        <v>2165</v>
      </c>
      <c r="K10" s="28" t="s">
        <v>2166</v>
      </c>
      <c r="L10" s="28" t="s">
        <v>371</v>
      </c>
      <c r="M10" s="28" t="s">
        <v>111</v>
      </c>
      <c r="N10" s="28" t="s">
        <v>201</v>
      </c>
      <c r="O10" s="28" t="s">
        <v>293</v>
      </c>
      <c r="P10" s="28" t="s">
        <v>101</v>
      </c>
      <c r="Q10" s="28"/>
      <c r="R10" s="28" t="s">
        <v>2179</v>
      </c>
    </row>
    <row r="11" customFormat="false" ht="15" hidden="false" customHeight="false" outlineLevel="0" collapsed="false">
      <c r="A11" s="28" t="s">
        <v>2180</v>
      </c>
      <c r="B11" s="28" t="s">
        <v>2162</v>
      </c>
      <c r="C11" s="28" t="s">
        <v>2163</v>
      </c>
      <c r="D11" s="28" t="s">
        <v>102</v>
      </c>
      <c r="E11" s="28"/>
      <c r="F11" s="28" t="s">
        <v>410</v>
      </c>
      <c r="G11" s="28"/>
      <c r="H11" s="28"/>
      <c r="I11" s="28" t="s">
        <v>2164</v>
      </c>
      <c r="J11" s="28" t="s">
        <v>2181</v>
      </c>
      <c r="K11" s="28" t="s">
        <v>2166</v>
      </c>
      <c r="L11" s="28" t="s">
        <v>371</v>
      </c>
      <c r="M11" s="28" t="s">
        <v>121</v>
      </c>
      <c r="N11" s="28" t="s">
        <v>201</v>
      </c>
      <c r="O11" s="28" t="s">
        <v>293</v>
      </c>
      <c r="P11" s="28" t="s">
        <v>101</v>
      </c>
      <c r="Q11" s="28"/>
      <c r="R11" s="28" t="s">
        <v>2182</v>
      </c>
    </row>
    <row r="12" customFormat="false" ht="15" hidden="false" customHeight="false" outlineLevel="0" collapsed="false">
      <c r="A12" s="28" t="s">
        <v>2183</v>
      </c>
      <c r="B12" s="28" t="s">
        <v>2162</v>
      </c>
      <c r="C12" s="28" t="s">
        <v>2163</v>
      </c>
      <c r="D12" s="28" t="s">
        <v>102</v>
      </c>
      <c r="E12" s="28"/>
      <c r="F12" s="28" t="s">
        <v>427</v>
      </c>
      <c r="G12" s="28"/>
      <c r="H12" s="28"/>
      <c r="I12" s="28" t="s">
        <v>2164</v>
      </c>
      <c r="J12" s="28" t="s">
        <v>2165</v>
      </c>
      <c r="K12" s="28" t="s">
        <v>2166</v>
      </c>
      <c r="L12" s="28" t="s">
        <v>429</v>
      </c>
      <c r="M12" s="28" t="s">
        <v>111</v>
      </c>
      <c r="N12" s="28" t="s">
        <v>201</v>
      </c>
      <c r="O12" s="28" t="s">
        <v>293</v>
      </c>
      <c r="P12" s="28" t="s">
        <v>101</v>
      </c>
      <c r="Q12" s="28"/>
      <c r="R12" s="28" t="s">
        <v>2184</v>
      </c>
    </row>
    <row r="13" customFormat="false" ht="15" hidden="false" customHeight="false" outlineLevel="0" collapsed="false">
      <c r="A13" s="28" t="s">
        <v>2185</v>
      </c>
      <c r="B13" s="28" t="s">
        <v>2162</v>
      </c>
      <c r="C13" s="28" t="s">
        <v>2163</v>
      </c>
      <c r="D13" s="28" t="s">
        <v>102</v>
      </c>
      <c r="E13" s="28"/>
      <c r="F13" s="28" t="s">
        <v>437</v>
      </c>
      <c r="G13" s="28"/>
      <c r="H13" s="28"/>
      <c r="I13" s="28" t="s">
        <v>2164</v>
      </c>
      <c r="J13" s="28" t="s">
        <v>2186</v>
      </c>
      <c r="K13" s="28" t="s">
        <v>2166</v>
      </c>
      <c r="L13" s="28"/>
      <c r="M13" s="28" t="s">
        <v>121</v>
      </c>
      <c r="N13" s="28" t="s">
        <v>201</v>
      </c>
      <c r="O13" s="28" t="s">
        <v>293</v>
      </c>
      <c r="P13" s="28" t="s">
        <v>101</v>
      </c>
      <c r="Q13" s="28"/>
      <c r="R13" s="28" t="s">
        <v>2187</v>
      </c>
    </row>
    <row r="14" customFormat="false" ht="15" hidden="false" customHeight="false" outlineLevel="0" collapsed="false">
      <c r="A14" s="28" t="s">
        <v>2188</v>
      </c>
      <c r="B14" s="28" t="s">
        <v>2162</v>
      </c>
      <c r="C14" s="28" t="s">
        <v>2163</v>
      </c>
      <c r="D14" s="28" t="s">
        <v>114</v>
      </c>
      <c r="E14" s="28"/>
      <c r="F14" s="28" t="s">
        <v>621</v>
      </c>
      <c r="G14" s="28"/>
      <c r="H14" s="28"/>
      <c r="I14" s="28" t="s">
        <v>2164</v>
      </c>
      <c r="J14" s="28" t="s">
        <v>2165</v>
      </c>
      <c r="K14" s="28" t="s">
        <v>2166</v>
      </c>
      <c r="L14" s="28" t="s">
        <v>371</v>
      </c>
      <c r="M14" s="28" t="s">
        <v>111</v>
      </c>
      <c r="N14" s="28" t="s">
        <v>201</v>
      </c>
      <c r="O14" s="28" t="s">
        <v>293</v>
      </c>
      <c r="P14" s="28" t="s">
        <v>101</v>
      </c>
      <c r="Q14" s="28"/>
      <c r="R14" s="28" t="s">
        <v>2189</v>
      </c>
    </row>
    <row r="15" customFormat="false" ht="15" hidden="false" customHeight="false" outlineLevel="0" collapsed="false">
      <c r="A15" s="28" t="s">
        <v>2190</v>
      </c>
      <c r="B15" s="28" t="s">
        <v>2162</v>
      </c>
      <c r="C15" s="28" t="s">
        <v>2163</v>
      </c>
      <c r="D15" s="28" t="s">
        <v>114</v>
      </c>
      <c r="E15" s="28"/>
      <c r="F15" s="28" t="s">
        <v>623</v>
      </c>
      <c r="G15" s="28"/>
      <c r="H15" s="28"/>
      <c r="I15" s="28" t="s">
        <v>2164</v>
      </c>
      <c r="J15" s="28" t="s">
        <v>2165</v>
      </c>
      <c r="K15" s="28" t="s">
        <v>2166</v>
      </c>
      <c r="L15" s="28" t="s">
        <v>371</v>
      </c>
      <c r="M15" s="28" t="s">
        <v>111</v>
      </c>
      <c r="N15" s="28" t="s">
        <v>201</v>
      </c>
      <c r="O15" s="28" t="s">
        <v>293</v>
      </c>
      <c r="P15" s="28" t="s">
        <v>101</v>
      </c>
      <c r="Q15" s="28"/>
      <c r="R15" s="28" t="s">
        <v>2191</v>
      </c>
    </row>
    <row r="16" customFormat="false" ht="15" hidden="false" customHeight="false" outlineLevel="0" collapsed="false">
      <c r="A16" s="28" t="s">
        <v>2192</v>
      </c>
      <c r="B16" s="28" t="s">
        <v>2162</v>
      </c>
      <c r="C16" s="28" t="s">
        <v>2163</v>
      </c>
      <c r="D16" s="28" t="s">
        <v>114</v>
      </c>
      <c r="E16" s="28"/>
      <c r="F16" s="28" t="s">
        <v>625</v>
      </c>
      <c r="G16" s="28"/>
      <c r="H16" s="28"/>
      <c r="I16" s="28" t="s">
        <v>2164</v>
      </c>
      <c r="J16" s="28" t="s">
        <v>2165</v>
      </c>
      <c r="K16" s="28" t="s">
        <v>2166</v>
      </c>
      <c r="L16" s="28" t="s">
        <v>371</v>
      </c>
      <c r="M16" s="28" t="s">
        <v>111</v>
      </c>
      <c r="N16" s="28" t="s">
        <v>201</v>
      </c>
      <c r="O16" s="28" t="s">
        <v>293</v>
      </c>
      <c r="P16" s="28" t="s">
        <v>101</v>
      </c>
      <c r="Q16" s="28"/>
      <c r="R16" s="28" t="s">
        <v>2193</v>
      </c>
    </row>
    <row r="17" customFormat="false" ht="15" hidden="false" customHeight="false" outlineLevel="0" collapsed="false">
      <c r="A17" s="28" t="s">
        <v>2194</v>
      </c>
      <c r="B17" s="28" t="s">
        <v>2162</v>
      </c>
      <c r="C17" s="28" t="s">
        <v>2163</v>
      </c>
      <c r="D17" s="28" t="s">
        <v>114</v>
      </c>
      <c r="E17" s="28"/>
      <c r="F17" s="28" t="s">
        <v>627</v>
      </c>
      <c r="G17" s="28"/>
      <c r="H17" s="28"/>
      <c r="I17" s="28" t="s">
        <v>2164</v>
      </c>
      <c r="J17" s="28" t="s">
        <v>2165</v>
      </c>
      <c r="K17" s="28" t="s">
        <v>2166</v>
      </c>
      <c r="L17" s="28" t="s">
        <v>371</v>
      </c>
      <c r="M17" s="28" t="s">
        <v>111</v>
      </c>
      <c r="N17" s="28" t="s">
        <v>201</v>
      </c>
      <c r="O17" s="28" t="s">
        <v>293</v>
      </c>
      <c r="P17" s="28" t="s">
        <v>101</v>
      </c>
      <c r="Q17" s="28"/>
      <c r="R17" s="28" t="s">
        <v>2195</v>
      </c>
    </row>
    <row r="18" customFormat="false" ht="15" hidden="false" customHeight="false" outlineLevel="0" collapsed="false">
      <c r="A18" s="28" t="s">
        <v>2196</v>
      </c>
      <c r="B18" s="28" t="s">
        <v>2162</v>
      </c>
      <c r="C18" s="28" t="s">
        <v>2163</v>
      </c>
      <c r="D18" s="28" t="s">
        <v>114</v>
      </c>
      <c r="E18" s="28"/>
      <c r="F18" s="28" t="s">
        <v>629</v>
      </c>
      <c r="G18" s="28"/>
      <c r="H18" s="28"/>
      <c r="I18" s="28" t="s">
        <v>2164</v>
      </c>
      <c r="J18" s="28" t="s">
        <v>2165</v>
      </c>
      <c r="K18" s="28" t="s">
        <v>2166</v>
      </c>
      <c r="L18" s="28" t="s">
        <v>371</v>
      </c>
      <c r="M18" s="28" t="s">
        <v>111</v>
      </c>
      <c r="N18" s="28" t="s">
        <v>201</v>
      </c>
      <c r="O18" s="28" t="s">
        <v>293</v>
      </c>
      <c r="P18" s="28" t="s">
        <v>101</v>
      </c>
      <c r="Q18" s="28"/>
      <c r="R18" s="28" t="s">
        <v>2197</v>
      </c>
    </row>
    <row r="19" customFormat="false" ht="15" hidden="false" customHeight="false" outlineLevel="0" collapsed="false">
      <c r="A19" s="28" t="s">
        <v>2198</v>
      </c>
      <c r="B19" s="28" t="s">
        <v>2162</v>
      </c>
      <c r="C19" s="28" t="s">
        <v>2163</v>
      </c>
      <c r="D19" s="28" t="s">
        <v>114</v>
      </c>
      <c r="E19" s="28"/>
      <c r="F19" s="28" t="s">
        <v>631</v>
      </c>
      <c r="G19" s="28"/>
      <c r="H19" s="28"/>
      <c r="I19" s="28" t="s">
        <v>2164</v>
      </c>
      <c r="J19" s="28" t="s">
        <v>2165</v>
      </c>
      <c r="K19" s="28" t="s">
        <v>2166</v>
      </c>
      <c r="L19" s="28" t="s">
        <v>371</v>
      </c>
      <c r="M19" s="28" t="s">
        <v>111</v>
      </c>
      <c r="N19" s="28" t="s">
        <v>201</v>
      </c>
      <c r="O19" s="28" t="s">
        <v>293</v>
      </c>
      <c r="P19" s="28" t="s">
        <v>101</v>
      </c>
      <c r="Q19" s="28"/>
      <c r="R19" s="28" t="s">
        <v>2199</v>
      </c>
    </row>
    <row r="20" customFormat="false" ht="15" hidden="false" customHeight="false" outlineLevel="0" collapsed="false">
      <c r="A20" s="28" t="s">
        <v>2200</v>
      </c>
      <c r="B20" s="28" t="s">
        <v>2162</v>
      </c>
      <c r="C20" s="28" t="s">
        <v>2163</v>
      </c>
      <c r="D20" s="28" t="s">
        <v>114</v>
      </c>
      <c r="E20" s="28"/>
      <c r="F20" s="28" t="s">
        <v>633</v>
      </c>
      <c r="G20" s="28"/>
      <c r="H20" s="28"/>
      <c r="I20" s="28" t="s">
        <v>2164</v>
      </c>
      <c r="J20" s="28" t="s">
        <v>2165</v>
      </c>
      <c r="K20" s="28" t="s">
        <v>2166</v>
      </c>
      <c r="L20" s="28" t="s">
        <v>371</v>
      </c>
      <c r="M20" s="28" t="s">
        <v>111</v>
      </c>
      <c r="N20" s="28" t="s">
        <v>201</v>
      </c>
      <c r="O20" s="28" t="s">
        <v>293</v>
      </c>
      <c r="P20" s="28" t="s">
        <v>101</v>
      </c>
      <c r="Q20" s="28"/>
      <c r="R20" s="28" t="s">
        <v>2201</v>
      </c>
    </row>
    <row r="21" customFormat="false" ht="15" hidden="false" customHeight="false" outlineLevel="0" collapsed="false">
      <c r="A21" s="28" t="s">
        <v>2202</v>
      </c>
      <c r="B21" s="28" t="s">
        <v>2162</v>
      </c>
      <c r="C21" s="28" t="s">
        <v>2163</v>
      </c>
      <c r="D21" s="28" t="s">
        <v>114</v>
      </c>
      <c r="E21" s="28"/>
      <c r="F21" s="28" t="s">
        <v>637</v>
      </c>
      <c r="G21" s="28"/>
      <c r="H21" s="28"/>
      <c r="I21" s="28" t="s">
        <v>2164</v>
      </c>
      <c r="J21" s="28" t="s">
        <v>2181</v>
      </c>
      <c r="K21" s="28" t="s">
        <v>2166</v>
      </c>
      <c r="L21" s="28" t="s">
        <v>371</v>
      </c>
      <c r="M21" s="28" t="s">
        <v>121</v>
      </c>
      <c r="N21" s="28" t="s">
        <v>201</v>
      </c>
      <c r="O21" s="28" t="s">
        <v>293</v>
      </c>
      <c r="P21" s="28" t="s">
        <v>101</v>
      </c>
      <c r="Q21" s="28"/>
      <c r="R21" s="28" t="s">
        <v>2203</v>
      </c>
    </row>
    <row r="22" customFormat="false" ht="15" hidden="false" customHeight="false" outlineLevel="0" collapsed="false">
      <c r="A22" s="28" t="s">
        <v>2204</v>
      </c>
      <c r="B22" s="28" t="s">
        <v>2162</v>
      </c>
      <c r="C22" s="28" t="s">
        <v>2163</v>
      </c>
      <c r="D22" s="28" t="s">
        <v>114</v>
      </c>
      <c r="E22" s="28"/>
      <c r="F22" s="28" t="s">
        <v>643</v>
      </c>
      <c r="G22" s="28"/>
      <c r="H22" s="28"/>
      <c r="I22" s="28" t="s">
        <v>2164</v>
      </c>
      <c r="J22" s="28" t="s">
        <v>2165</v>
      </c>
      <c r="K22" s="28" t="s">
        <v>2166</v>
      </c>
      <c r="L22" s="28" t="s">
        <v>429</v>
      </c>
      <c r="M22" s="28" t="s">
        <v>111</v>
      </c>
      <c r="N22" s="28" t="s">
        <v>201</v>
      </c>
      <c r="O22" s="28" t="s">
        <v>293</v>
      </c>
      <c r="P22" s="28" t="s">
        <v>101</v>
      </c>
      <c r="Q22" s="28"/>
      <c r="R22" s="28" t="s">
        <v>2205</v>
      </c>
    </row>
    <row r="23" customFormat="false" ht="15" hidden="false" customHeight="false" outlineLevel="0" collapsed="false">
      <c r="A23" s="28" t="s">
        <v>2206</v>
      </c>
      <c r="B23" s="28" t="s">
        <v>2162</v>
      </c>
      <c r="C23" s="28" t="s">
        <v>2163</v>
      </c>
      <c r="D23" s="28" t="s">
        <v>114</v>
      </c>
      <c r="E23" s="28"/>
      <c r="F23" s="28" t="s">
        <v>649</v>
      </c>
      <c r="G23" s="28"/>
      <c r="H23" s="28"/>
      <c r="I23" s="28" t="s">
        <v>2164</v>
      </c>
      <c r="J23" s="28" t="s">
        <v>2186</v>
      </c>
      <c r="K23" s="28" t="s">
        <v>2166</v>
      </c>
      <c r="L23" s="28"/>
      <c r="M23" s="28" t="s">
        <v>121</v>
      </c>
      <c r="N23" s="28" t="s">
        <v>201</v>
      </c>
      <c r="O23" s="28" t="s">
        <v>293</v>
      </c>
      <c r="P23" s="28" t="s">
        <v>101</v>
      </c>
      <c r="Q23" s="28"/>
      <c r="R23" s="28" t="s">
        <v>2207</v>
      </c>
    </row>
    <row r="24" customFormat="false" ht="15" hidden="false" customHeight="false" outlineLevel="0" collapsed="false">
      <c r="A24" s="28" t="s">
        <v>2208</v>
      </c>
      <c r="B24" s="28" t="s">
        <v>2209</v>
      </c>
      <c r="C24" s="28" t="s">
        <v>2210</v>
      </c>
      <c r="D24" s="28" t="s">
        <v>102</v>
      </c>
      <c r="E24" s="28"/>
      <c r="F24" s="28"/>
      <c r="G24" s="28" t="s">
        <v>669</v>
      </c>
      <c r="H24" s="28" t="s">
        <v>791</v>
      </c>
      <c r="I24" s="28" t="s">
        <v>2211</v>
      </c>
      <c r="J24" s="39" t="s">
        <v>2212</v>
      </c>
      <c r="K24" s="28" t="s">
        <v>2213</v>
      </c>
      <c r="L24" s="39" t="s">
        <v>2214</v>
      </c>
      <c r="M24" s="28" t="s">
        <v>111</v>
      </c>
      <c r="N24" s="28" t="s">
        <v>201</v>
      </c>
      <c r="O24" s="28"/>
      <c r="P24" s="28" t="s">
        <v>101</v>
      </c>
      <c r="Q24" s="28"/>
      <c r="R24" s="28"/>
    </row>
    <row r="25" customFormat="false" ht="15" hidden="false" customHeight="false" outlineLevel="0" collapsed="false">
      <c r="A25" s="28" t="s">
        <v>2215</v>
      </c>
      <c r="B25" s="28" t="s">
        <v>2209</v>
      </c>
      <c r="C25" s="28" t="s">
        <v>2210</v>
      </c>
      <c r="D25" s="28" t="s">
        <v>102</v>
      </c>
      <c r="E25" s="28"/>
      <c r="F25" s="28"/>
      <c r="G25" s="28" t="s">
        <v>669</v>
      </c>
      <c r="H25" s="28" t="s">
        <v>2216</v>
      </c>
      <c r="I25" s="28" t="s">
        <v>2217</v>
      </c>
      <c r="J25" s="39" t="s">
        <v>2212</v>
      </c>
      <c r="K25" s="28" t="s">
        <v>2213</v>
      </c>
      <c r="L25" s="28" t="s">
        <v>2218</v>
      </c>
      <c r="M25" s="28" t="s">
        <v>99</v>
      </c>
      <c r="N25" s="28" t="s">
        <v>201</v>
      </c>
      <c r="O25" s="28"/>
      <c r="P25" s="28" t="s">
        <v>101</v>
      </c>
      <c r="Q25" s="28"/>
      <c r="R25" s="28"/>
    </row>
    <row r="26" customFormat="false" ht="15" hidden="false" customHeight="false" outlineLevel="0" collapsed="false">
      <c r="A26" s="28" t="s">
        <v>2219</v>
      </c>
      <c r="B26" s="28" t="s">
        <v>2209</v>
      </c>
      <c r="C26" s="28" t="s">
        <v>2210</v>
      </c>
      <c r="D26" s="28" t="s">
        <v>102</v>
      </c>
      <c r="E26" s="28"/>
      <c r="F26" s="28"/>
      <c r="G26" s="28" t="s">
        <v>669</v>
      </c>
      <c r="H26" s="28" t="s">
        <v>2216</v>
      </c>
      <c r="I26" s="28" t="s">
        <v>2220</v>
      </c>
      <c r="J26" s="39" t="s">
        <v>2212</v>
      </c>
      <c r="K26" s="28" t="s">
        <v>2213</v>
      </c>
      <c r="L26" s="28" t="s">
        <v>2221</v>
      </c>
      <c r="M26" s="28" t="s">
        <v>121</v>
      </c>
      <c r="N26" s="28" t="s">
        <v>201</v>
      </c>
      <c r="O26" s="28"/>
      <c r="P26" s="28" t="s">
        <v>101</v>
      </c>
      <c r="Q26" s="28"/>
      <c r="R26" s="28"/>
    </row>
    <row r="27" customFormat="false" ht="15" hidden="false" customHeight="false" outlineLevel="0" collapsed="false">
      <c r="A27" s="28" t="s">
        <v>2222</v>
      </c>
      <c r="B27" s="28" t="s">
        <v>2209</v>
      </c>
      <c r="C27" s="28" t="s">
        <v>2210</v>
      </c>
      <c r="D27" s="28" t="s">
        <v>102</v>
      </c>
      <c r="E27" s="28"/>
      <c r="F27" s="28"/>
      <c r="G27" s="28" t="s">
        <v>669</v>
      </c>
      <c r="H27" s="28" t="s">
        <v>2223</v>
      </c>
      <c r="I27" s="28" t="s">
        <v>2220</v>
      </c>
      <c r="J27" s="39" t="s">
        <v>2224</v>
      </c>
      <c r="K27" s="28" t="s">
        <v>2225</v>
      </c>
      <c r="L27" s="28" t="s">
        <v>2226</v>
      </c>
      <c r="M27" s="28" t="s">
        <v>121</v>
      </c>
      <c r="N27" s="28" t="s">
        <v>201</v>
      </c>
      <c r="O27" s="28"/>
      <c r="P27" s="28" t="s">
        <v>101</v>
      </c>
      <c r="Q27" s="28"/>
      <c r="R27" s="28"/>
    </row>
    <row r="28" customFormat="false" ht="15" hidden="false" customHeight="false" outlineLevel="0" collapsed="false">
      <c r="A28" s="28" t="s">
        <v>2227</v>
      </c>
      <c r="B28" s="28" t="s">
        <v>2209</v>
      </c>
      <c r="C28" s="28" t="s">
        <v>2210</v>
      </c>
      <c r="D28" s="28" t="s">
        <v>102</v>
      </c>
      <c r="E28" s="28"/>
      <c r="F28" s="28"/>
      <c r="G28" s="28" t="s">
        <v>669</v>
      </c>
      <c r="H28" s="28" t="s">
        <v>2228</v>
      </c>
      <c r="I28" s="28" t="s">
        <v>2220</v>
      </c>
      <c r="J28" s="39" t="s">
        <v>2224</v>
      </c>
      <c r="K28" s="28" t="s">
        <v>2225</v>
      </c>
      <c r="L28" s="28" t="s">
        <v>2229</v>
      </c>
      <c r="M28" s="28" t="s">
        <v>121</v>
      </c>
      <c r="N28" s="28" t="s">
        <v>201</v>
      </c>
      <c r="O28" s="28"/>
      <c r="P28" s="28" t="s">
        <v>101</v>
      </c>
      <c r="Q28" s="28"/>
      <c r="R28" s="28"/>
    </row>
    <row r="29" customFormat="false" ht="15" hidden="false" customHeight="false" outlineLevel="0" collapsed="false">
      <c r="A29" s="28" t="s">
        <v>2230</v>
      </c>
      <c r="B29" s="28" t="s">
        <v>2209</v>
      </c>
      <c r="C29" s="28" t="s">
        <v>2210</v>
      </c>
      <c r="D29" s="28" t="s">
        <v>102</v>
      </c>
      <c r="E29" s="28"/>
      <c r="F29" s="28"/>
      <c r="G29" s="28" t="s">
        <v>669</v>
      </c>
      <c r="H29" s="28" t="s">
        <v>2231</v>
      </c>
      <c r="I29" s="28" t="s">
        <v>2220</v>
      </c>
      <c r="J29" s="39" t="s">
        <v>2232</v>
      </c>
      <c r="K29" s="28" t="s">
        <v>2233</v>
      </c>
      <c r="L29" s="28" t="s">
        <v>2234</v>
      </c>
      <c r="M29" s="28" t="s">
        <v>121</v>
      </c>
      <c r="N29" s="28" t="s">
        <v>201</v>
      </c>
      <c r="O29" s="28"/>
      <c r="P29" s="28" t="s">
        <v>101</v>
      </c>
      <c r="Q29" s="28"/>
      <c r="R29" s="28"/>
    </row>
    <row r="30" customFormat="false" ht="15" hidden="false" customHeight="false" outlineLevel="0" collapsed="false">
      <c r="A30" s="28" t="s">
        <v>2235</v>
      </c>
      <c r="B30" s="28" t="s">
        <v>2209</v>
      </c>
      <c r="C30" s="28" t="s">
        <v>2210</v>
      </c>
      <c r="D30" s="28" t="s">
        <v>102</v>
      </c>
      <c r="E30" s="28"/>
      <c r="F30" s="28"/>
      <c r="G30" s="28" t="s">
        <v>669</v>
      </c>
      <c r="H30" s="28" t="s">
        <v>2236</v>
      </c>
      <c r="I30" s="28" t="s">
        <v>2211</v>
      </c>
      <c r="J30" s="28" t="s">
        <v>2237</v>
      </c>
      <c r="K30" s="28" t="s">
        <v>2238</v>
      </c>
      <c r="L30" s="28" t="s">
        <v>2239</v>
      </c>
      <c r="M30" s="28" t="s">
        <v>111</v>
      </c>
      <c r="N30" s="28" t="s">
        <v>201</v>
      </c>
      <c r="O30" s="28"/>
      <c r="P30" s="28" t="s">
        <v>101</v>
      </c>
      <c r="Q30" s="28"/>
      <c r="R30" s="28"/>
    </row>
    <row r="31" customFormat="false" ht="15" hidden="false" customHeight="false" outlineLevel="0" collapsed="false">
      <c r="A31" s="28" t="s">
        <v>2240</v>
      </c>
      <c r="B31" s="28" t="s">
        <v>2209</v>
      </c>
      <c r="C31" s="28" t="s">
        <v>2210</v>
      </c>
      <c r="D31" s="28" t="s">
        <v>102</v>
      </c>
      <c r="E31" s="28"/>
      <c r="F31" s="28"/>
      <c r="G31" s="28" t="s">
        <v>2241</v>
      </c>
      <c r="H31" s="39" t="s">
        <v>2242</v>
      </c>
      <c r="I31" s="28" t="s">
        <v>2220</v>
      </c>
      <c r="J31" s="28" t="s">
        <v>2237</v>
      </c>
      <c r="K31" s="28" t="s">
        <v>2238</v>
      </c>
      <c r="L31" s="28" t="s">
        <v>2243</v>
      </c>
      <c r="M31" s="28" t="s">
        <v>121</v>
      </c>
      <c r="N31" s="28" t="s">
        <v>201</v>
      </c>
      <c r="O31" s="28"/>
      <c r="P31" s="28" t="s">
        <v>101</v>
      </c>
      <c r="Q31" s="28"/>
      <c r="R31" s="28"/>
    </row>
    <row r="32" customFormat="false" ht="15" hidden="false" customHeight="false" outlineLevel="0" collapsed="false">
      <c r="A32" s="28" t="s">
        <v>2244</v>
      </c>
      <c r="B32" s="28" t="s">
        <v>2209</v>
      </c>
      <c r="C32" s="28" t="s">
        <v>2210</v>
      </c>
      <c r="D32" s="28" t="s">
        <v>102</v>
      </c>
      <c r="E32" s="28"/>
      <c r="F32" s="28"/>
      <c r="G32" s="28" t="s">
        <v>669</v>
      </c>
      <c r="H32" s="28" t="s">
        <v>685</v>
      </c>
      <c r="I32" s="28" t="s">
        <v>2220</v>
      </c>
      <c r="J32" s="28" t="s">
        <v>2237</v>
      </c>
      <c r="K32" s="28" t="s">
        <v>2238</v>
      </c>
      <c r="L32" s="28" t="s">
        <v>2245</v>
      </c>
      <c r="M32" s="28" t="s">
        <v>121</v>
      </c>
      <c r="N32" s="28" t="s">
        <v>201</v>
      </c>
      <c r="O32" s="28"/>
      <c r="P32" s="28" t="s">
        <v>101</v>
      </c>
      <c r="Q32" s="28"/>
      <c r="R32" s="28"/>
    </row>
    <row r="33" customFormat="false" ht="15" hidden="false" customHeight="false" outlineLevel="0" collapsed="false">
      <c r="A33" s="28" t="s">
        <v>2246</v>
      </c>
      <c r="B33" s="28" t="s">
        <v>2209</v>
      </c>
      <c r="C33" s="28" t="s">
        <v>2210</v>
      </c>
      <c r="D33" s="28" t="s">
        <v>102</v>
      </c>
      <c r="E33" s="28"/>
      <c r="F33" s="28"/>
      <c r="G33" s="28" t="s">
        <v>669</v>
      </c>
      <c r="H33" s="28" t="s">
        <v>687</v>
      </c>
      <c r="I33" s="28" t="s">
        <v>2211</v>
      </c>
      <c r="J33" s="28" t="s">
        <v>2247</v>
      </c>
      <c r="K33" s="28" t="s">
        <v>2248</v>
      </c>
      <c r="L33" s="28" t="s">
        <v>2249</v>
      </c>
      <c r="M33" s="28" t="s">
        <v>111</v>
      </c>
      <c r="N33" s="28" t="s">
        <v>201</v>
      </c>
      <c r="O33" s="28"/>
      <c r="P33" s="28" t="s">
        <v>101</v>
      </c>
      <c r="Q33" s="28"/>
      <c r="R33" s="28"/>
    </row>
    <row r="34" customFormat="false" ht="15" hidden="false" customHeight="false" outlineLevel="0" collapsed="false">
      <c r="A34" s="28" t="s">
        <v>2250</v>
      </c>
      <c r="B34" s="28" t="s">
        <v>2209</v>
      </c>
      <c r="C34" s="28" t="s">
        <v>2210</v>
      </c>
      <c r="D34" s="28" t="s">
        <v>102</v>
      </c>
      <c r="E34" s="28"/>
      <c r="F34" s="28"/>
      <c r="G34" s="28" t="s">
        <v>669</v>
      </c>
      <c r="H34" s="28" t="s">
        <v>687</v>
      </c>
      <c r="I34" s="28" t="s">
        <v>2251</v>
      </c>
      <c r="J34" s="28" t="s">
        <v>2247</v>
      </c>
      <c r="K34" s="28" t="s">
        <v>2248</v>
      </c>
      <c r="L34" s="28" t="s">
        <v>2252</v>
      </c>
      <c r="M34" s="28" t="s">
        <v>111</v>
      </c>
      <c r="N34" s="28" t="s">
        <v>201</v>
      </c>
      <c r="O34" s="28"/>
      <c r="P34" s="28" t="s">
        <v>101</v>
      </c>
      <c r="Q34" s="28"/>
      <c r="R34" s="28"/>
    </row>
    <row r="35" customFormat="false" ht="15" hidden="false" customHeight="false" outlineLevel="0" collapsed="false">
      <c r="A35" s="28" t="s">
        <v>2253</v>
      </c>
      <c r="B35" s="28" t="s">
        <v>2209</v>
      </c>
      <c r="C35" s="28" t="s">
        <v>2210</v>
      </c>
      <c r="D35" s="28" t="s">
        <v>102</v>
      </c>
      <c r="E35" s="28"/>
      <c r="F35" s="28"/>
      <c r="G35" s="28" t="s">
        <v>669</v>
      </c>
      <c r="H35" s="28" t="s">
        <v>683</v>
      </c>
      <c r="I35" s="28" t="s">
        <v>2220</v>
      </c>
      <c r="J35" s="28" t="s">
        <v>2254</v>
      </c>
      <c r="K35" s="28" t="s">
        <v>2255</v>
      </c>
      <c r="L35" s="28" t="s">
        <v>2256</v>
      </c>
      <c r="M35" s="28" t="s">
        <v>121</v>
      </c>
      <c r="N35" s="28" t="s">
        <v>201</v>
      </c>
      <c r="O35" s="28"/>
      <c r="P35" s="28" t="s">
        <v>101</v>
      </c>
      <c r="Q35" s="28"/>
      <c r="R35" s="28"/>
    </row>
    <row r="36" customFormat="false" ht="15" hidden="false" customHeight="false" outlineLevel="0" collapsed="false">
      <c r="A36" s="28" t="s">
        <v>2257</v>
      </c>
      <c r="B36" s="28" t="s">
        <v>2209</v>
      </c>
      <c r="C36" s="28" t="s">
        <v>2210</v>
      </c>
      <c r="D36" s="28"/>
      <c r="E36" s="28"/>
      <c r="F36" s="28"/>
      <c r="G36" s="28" t="s">
        <v>669</v>
      </c>
      <c r="H36" s="28" t="s">
        <v>2258</v>
      </c>
      <c r="I36" s="28" t="s">
        <v>2217</v>
      </c>
      <c r="J36" s="39" t="s">
        <v>2259</v>
      </c>
      <c r="K36" s="28" t="s">
        <v>2260</v>
      </c>
      <c r="L36" s="28" t="s">
        <v>2261</v>
      </c>
      <c r="M36" s="28" t="s">
        <v>99</v>
      </c>
      <c r="N36" s="28" t="s">
        <v>201</v>
      </c>
      <c r="O36" s="28"/>
      <c r="P36" s="28" t="s">
        <v>101</v>
      </c>
      <c r="Q36" s="28"/>
      <c r="R36" s="28"/>
    </row>
    <row r="37" customFormat="false" ht="15" hidden="false" customHeight="false" outlineLevel="0" collapsed="false">
      <c r="A37" s="28" t="s">
        <v>2262</v>
      </c>
      <c r="B37" s="28" t="s">
        <v>2209</v>
      </c>
      <c r="C37" s="28" t="s">
        <v>2210</v>
      </c>
      <c r="D37" s="28"/>
      <c r="E37" s="28"/>
      <c r="F37" s="28"/>
      <c r="G37" s="28" t="s">
        <v>669</v>
      </c>
      <c r="H37" s="28" t="s">
        <v>2263</v>
      </c>
      <c r="I37" s="28" t="s">
        <v>2211</v>
      </c>
      <c r="J37" s="39" t="s">
        <v>2264</v>
      </c>
      <c r="K37" s="28" t="s">
        <v>2265</v>
      </c>
      <c r="L37" s="28" t="s">
        <v>2266</v>
      </c>
      <c r="M37" s="28" t="s">
        <v>111</v>
      </c>
      <c r="N37" s="28" t="s">
        <v>201</v>
      </c>
      <c r="O37" s="28"/>
      <c r="P37" s="28" t="s">
        <v>101</v>
      </c>
      <c r="Q37" s="28"/>
      <c r="R37" s="28"/>
    </row>
    <row r="38" customFormat="false" ht="15" hidden="false" customHeight="false" outlineLevel="0" collapsed="false">
      <c r="A38" s="28" t="s">
        <v>2267</v>
      </c>
      <c r="B38" s="28" t="s">
        <v>2209</v>
      </c>
      <c r="C38" s="28" t="s">
        <v>2210</v>
      </c>
      <c r="D38" s="28"/>
      <c r="E38" s="28"/>
      <c r="F38" s="28"/>
      <c r="G38" s="28" t="s">
        <v>669</v>
      </c>
      <c r="H38" s="28" t="s">
        <v>734</v>
      </c>
      <c r="I38" s="28" t="s">
        <v>2217</v>
      </c>
      <c r="J38" s="39" t="s">
        <v>2264</v>
      </c>
      <c r="K38" s="28" t="s">
        <v>2265</v>
      </c>
      <c r="L38" s="28" t="s">
        <v>2268</v>
      </c>
      <c r="M38" s="28" t="s">
        <v>99</v>
      </c>
      <c r="N38" s="28" t="s">
        <v>201</v>
      </c>
      <c r="O38" s="28"/>
      <c r="P38" s="28" t="s">
        <v>101</v>
      </c>
      <c r="Q38" s="28"/>
      <c r="R38" s="28"/>
    </row>
    <row r="39" customFormat="false" ht="15" hidden="false" customHeight="false" outlineLevel="0" collapsed="false">
      <c r="A39" s="28" t="s">
        <v>2269</v>
      </c>
      <c r="B39" s="28" t="s">
        <v>2209</v>
      </c>
      <c r="C39" s="28" t="s">
        <v>2210</v>
      </c>
      <c r="D39" s="28"/>
      <c r="E39" s="28"/>
      <c r="F39" s="28"/>
      <c r="G39" s="28" t="s">
        <v>669</v>
      </c>
      <c r="H39" s="28" t="s">
        <v>750</v>
      </c>
      <c r="I39" s="28" t="s">
        <v>2220</v>
      </c>
      <c r="J39" s="39" t="s">
        <v>2270</v>
      </c>
      <c r="K39" s="28" t="s">
        <v>2271</v>
      </c>
      <c r="L39" s="28" t="s">
        <v>2272</v>
      </c>
      <c r="M39" s="28" t="s">
        <v>121</v>
      </c>
      <c r="N39" s="28" t="s">
        <v>201</v>
      </c>
      <c r="O39" s="28"/>
      <c r="P39" s="28" t="s">
        <v>101</v>
      </c>
      <c r="Q39" s="28"/>
      <c r="R39" s="28"/>
    </row>
    <row r="40" customFormat="false" ht="15" hidden="false" customHeight="false" outlineLevel="0" collapsed="false">
      <c r="A40" s="28" t="s">
        <v>2273</v>
      </c>
      <c r="B40" s="28" t="s">
        <v>2209</v>
      </c>
      <c r="C40" s="28" t="s">
        <v>2210</v>
      </c>
      <c r="D40" s="28"/>
      <c r="E40" s="28"/>
      <c r="F40" s="28"/>
      <c r="G40" s="28" t="s">
        <v>669</v>
      </c>
      <c r="H40" s="28" t="s">
        <v>745</v>
      </c>
      <c r="I40" s="28" t="s">
        <v>2211</v>
      </c>
      <c r="J40" s="39" t="s">
        <v>2274</v>
      </c>
      <c r="K40" s="28" t="s">
        <v>2275</v>
      </c>
      <c r="L40" s="28" t="s">
        <v>2276</v>
      </c>
      <c r="M40" s="28" t="s">
        <v>111</v>
      </c>
      <c r="N40" s="28" t="s">
        <v>201</v>
      </c>
      <c r="O40" s="28"/>
      <c r="P40" s="28" t="s">
        <v>101</v>
      </c>
      <c r="Q40" s="28"/>
      <c r="R40" s="28"/>
    </row>
    <row r="41" customFormat="false" ht="15" hidden="false" customHeight="false" outlineLevel="0" collapsed="false">
      <c r="A41" s="28" t="s">
        <v>2277</v>
      </c>
      <c r="B41" s="28" t="s">
        <v>2209</v>
      </c>
      <c r="C41" s="28" t="s">
        <v>2210</v>
      </c>
      <c r="D41" s="28" t="s">
        <v>2278</v>
      </c>
      <c r="E41" s="28" t="s">
        <v>2279</v>
      </c>
      <c r="F41" s="28"/>
      <c r="G41" s="28" t="s">
        <v>734</v>
      </c>
      <c r="H41" s="28" t="s">
        <v>2280</v>
      </c>
      <c r="I41" s="28" t="s">
        <v>2251</v>
      </c>
      <c r="J41" s="28" t="s">
        <v>2281</v>
      </c>
      <c r="K41" s="28" t="s">
        <v>2282</v>
      </c>
      <c r="L41" s="28" t="s">
        <v>2283</v>
      </c>
      <c r="M41" s="28" t="s">
        <v>111</v>
      </c>
      <c r="N41" s="28" t="s">
        <v>201</v>
      </c>
      <c r="O41" s="28"/>
      <c r="P41" s="28" t="s">
        <v>101</v>
      </c>
      <c r="Q41" s="28"/>
      <c r="R41" s="28"/>
    </row>
    <row r="42" customFormat="false" ht="15" hidden="false" customHeight="false" outlineLevel="0" collapsed="false">
      <c r="A42" s="28" t="s">
        <v>2284</v>
      </c>
      <c r="B42" s="28" t="s">
        <v>2209</v>
      </c>
      <c r="C42" s="28" t="s">
        <v>2210</v>
      </c>
      <c r="D42" s="28" t="s">
        <v>2278</v>
      </c>
      <c r="E42" s="39" t="s">
        <v>2285</v>
      </c>
      <c r="F42" s="28"/>
      <c r="G42" s="28" t="s">
        <v>734</v>
      </c>
      <c r="H42" s="28" t="s">
        <v>2286</v>
      </c>
      <c r="I42" s="28" t="s">
        <v>2217</v>
      </c>
      <c r="J42" s="28" t="s">
        <v>2281</v>
      </c>
      <c r="K42" s="28" t="s">
        <v>2282</v>
      </c>
      <c r="L42" s="28" t="s">
        <v>2287</v>
      </c>
      <c r="M42" s="28" t="s">
        <v>99</v>
      </c>
      <c r="N42" s="28" t="s">
        <v>201</v>
      </c>
      <c r="O42" s="28"/>
      <c r="P42" s="28" t="s">
        <v>101</v>
      </c>
      <c r="Q42" s="28"/>
      <c r="R42" s="28"/>
    </row>
    <row r="43" customFormat="false" ht="15" hidden="false" customHeight="false" outlineLevel="0" collapsed="false">
      <c r="A43" s="28" t="s">
        <v>2288</v>
      </c>
      <c r="B43" s="28" t="s">
        <v>2209</v>
      </c>
      <c r="C43" s="28" t="s">
        <v>2210</v>
      </c>
      <c r="D43" s="28" t="s">
        <v>2278</v>
      </c>
      <c r="E43" s="39" t="s">
        <v>2285</v>
      </c>
      <c r="F43" s="28"/>
      <c r="G43" s="28" t="s">
        <v>734</v>
      </c>
      <c r="H43" s="28" t="s">
        <v>2289</v>
      </c>
      <c r="I43" s="28" t="s">
        <v>2220</v>
      </c>
      <c r="J43" s="28" t="s">
        <v>2281</v>
      </c>
      <c r="K43" s="28" t="s">
        <v>2282</v>
      </c>
      <c r="L43" s="28" t="s">
        <v>2290</v>
      </c>
      <c r="M43" s="28" t="s">
        <v>121</v>
      </c>
      <c r="N43" s="28" t="s">
        <v>201</v>
      </c>
      <c r="O43" s="28"/>
      <c r="P43" s="28" t="s">
        <v>101</v>
      </c>
      <c r="Q43" s="28"/>
      <c r="R43" s="28"/>
    </row>
    <row r="44" customFormat="false" ht="15" hidden="false" customHeight="false" outlineLevel="0" collapsed="false">
      <c r="A44" s="28" t="s">
        <v>2291</v>
      </c>
      <c r="B44" s="28" t="s">
        <v>2209</v>
      </c>
      <c r="C44" s="28" t="s">
        <v>2210</v>
      </c>
      <c r="D44" s="28" t="s">
        <v>2278</v>
      </c>
      <c r="E44" s="28" t="s">
        <v>2279</v>
      </c>
      <c r="F44" s="28"/>
      <c r="G44" s="28" t="s">
        <v>734</v>
      </c>
      <c r="H44" s="28" t="s">
        <v>2292</v>
      </c>
      <c r="I44" s="28" t="s">
        <v>2217</v>
      </c>
      <c r="J44" s="28" t="s">
        <v>2293</v>
      </c>
      <c r="K44" s="28" t="s">
        <v>2294</v>
      </c>
      <c r="L44" s="28" t="s">
        <v>2295</v>
      </c>
      <c r="M44" s="28" t="s">
        <v>99</v>
      </c>
      <c r="N44" s="28" t="s">
        <v>201</v>
      </c>
      <c r="O44" s="28"/>
      <c r="P44" s="28" t="s">
        <v>101</v>
      </c>
      <c r="Q44" s="28"/>
      <c r="R44" s="28"/>
    </row>
    <row r="45" customFormat="false" ht="15" hidden="false" customHeight="false" outlineLevel="0" collapsed="false">
      <c r="A45" s="28" t="s">
        <v>2296</v>
      </c>
      <c r="B45" s="28" t="s">
        <v>2209</v>
      </c>
      <c r="C45" s="28" t="s">
        <v>2210</v>
      </c>
      <c r="D45" s="28" t="s">
        <v>2278</v>
      </c>
      <c r="E45" s="28" t="s">
        <v>2279</v>
      </c>
      <c r="F45" s="28"/>
      <c r="G45" s="28" t="s">
        <v>734</v>
      </c>
      <c r="H45" s="28" t="s">
        <v>2297</v>
      </c>
      <c r="I45" s="28" t="s">
        <v>2220</v>
      </c>
      <c r="J45" s="28" t="s">
        <v>2293</v>
      </c>
      <c r="K45" s="28" t="s">
        <v>2294</v>
      </c>
      <c r="L45" s="28" t="s">
        <v>2298</v>
      </c>
      <c r="M45" s="28" t="s">
        <v>121</v>
      </c>
      <c r="N45" s="28" t="s">
        <v>201</v>
      </c>
      <c r="O45" s="28"/>
      <c r="P45" s="28" t="s">
        <v>101</v>
      </c>
      <c r="Q45" s="28"/>
      <c r="R45" s="28"/>
    </row>
    <row r="46" customFormat="false" ht="15" hidden="false" customHeight="false" outlineLevel="0" collapsed="false">
      <c r="A46" s="28" t="s">
        <v>2299</v>
      </c>
      <c r="B46" s="28" t="s">
        <v>2209</v>
      </c>
      <c r="C46" s="28" t="s">
        <v>2210</v>
      </c>
      <c r="D46" s="28" t="s">
        <v>2278</v>
      </c>
      <c r="E46" s="28" t="s">
        <v>2279</v>
      </c>
      <c r="F46" s="28"/>
      <c r="G46" s="28" t="s">
        <v>734</v>
      </c>
      <c r="H46" s="28" t="s">
        <v>2300</v>
      </c>
      <c r="I46" s="28" t="s">
        <v>2220</v>
      </c>
      <c r="J46" s="28" t="s">
        <v>2301</v>
      </c>
      <c r="K46" s="28" t="s">
        <v>2302</v>
      </c>
      <c r="L46" s="28" t="s">
        <v>2303</v>
      </c>
      <c r="M46" s="28" t="s">
        <v>121</v>
      </c>
      <c r="N46" s="28" t="s">
        <v>201</v>
      </c>
      <c r="O46" s="28"/>
      <c r="P46" s="28" t="s">
        <v>101</v>
      </c>
      <c r="Q46" s="28"/>
      <c r="R46" s="28"/>
    </row>
    <row r="47" customFormat="false" ht="15" hidden="false" customHeight="false" outlineLevel="0" collapsed="false">
      <c r="A47" s="28" t="s">
        <v>2304</v>
      </c>
      <c r="B47" s="28" t="s">
        <v>2209</v>
      </c>
      <c r="C47" s="28" t="s">
        <v>2210</v>
      </c>
      <c r="D47" s="28" t="s">
        <v>2278</v>
      </c>
      <c r="E47" s="28" t="s">
        <v>2279</v>
      </c>
      <c r="F47" s="28"/>
      <c r="G47" s="28" t="s">
        <v>734</v>
      </c>
      <c r="H47" s="28" t="s">
        <v>2305</v>
      </c>
      <c r="I47" s="28" t="s">
        <v>2220</v>
      </c>
      <c r="J47" s="28" t="s">
        <v>2306</v>
      </c>
      <c r="K47" s="28" t="s">
        <v>2307</v>
      </c>
      <c r="L47" s="28" t="s">
        <v>2308</v>
      </c>
      <c r="M47" s="28" t="s">
        <v>121</v>
      </c>
      <c r="N47" s="28" t="s">
        <v>201</v>
      </c>
      <c r="O47" s="28"/>
      <c r="P47" s="28" t="s">
        <v>101</v>
      </c>
      <c r="Q47" s="28"/>
      <c r="R47" s="28"/>
    </row>
    <row r="48" customFormat="false" ht="15" hidden="false" customHeight="false" outlineLevel="0" collapsed="false">
      <c r="A48" s="28" t="s">
        <v>2309</v>
      </c>
      <c r="B48" s="28" t="s">
        <v>2209</v>
      </c>
      <c r="C48" s="28" t="s">
        <v>2210</v>
      </c>
      <c r="D48" s="28" t="s">
        <v>2278</v>
      </c>
      <c r="E48" s="28" t="s">
        <v>2279</v>
      </c>
      <c r="F48" s="28"/>
      <c r="G48" s="28" t="s">
        <v>734</v>
      </c>
      <c r="H48" s="28" t="s">
        <v>2310</v>
      </c>
      <c r="I48" s="28" t="s">
        <v>2217</v>
      </c>
      <c r="J48" s="28" t="s">
        <v>2311</v>
      </c>
      <c r="K48" s="28" t="s">
        <v>2312</v>
      </c>
      <c r="L48" s="28" t="s">
        <v>2313</v>
      </c>
      <c r="M48" s="28" t="s">
        <v>99</v>
      </c>
      <c r="N48" s="28" t="s">
        <v>201</v>
      </c>
      <c r="O48" s="28"/>
      <c r="P48" s="28" t="s">
        <v>101</v>
      </c>
      <c r="Q48" s="28"/>
      <c r="R48" s="28"/>
    </row>
    <row r="49" customFormat="false" ht="15" hidden="false" customHeight="false" outlineLevel="0" collapsed="false">
      <c r="A49" s="28" t="s">
        <v>2314</v>
      </c>
      <c r="B49" s="28" t="s">
        <v>2209</v>
      </c>
      <c r="C49" s="28" t="s">
        <v>2210</v>
      </c>
      <c r="D49" s="28" t="s">
        <v>2278</v>
      </c>
      <c r="E49" s="28" t="s">
        <v>2279</v>
      </c>
      <c r="F49" s="28"/>
      <c r="G49" s="28" t="s">
        <v>734</v>
      </c>
      <c r="H49" s="28" t="s">
        <v>2315</v>
      </c>
      <c r="I49" s="28" t="s">
        <v>2220</v>
      </c>
      <c r="J49" s="28" t="s">
        <v>2311</v>
      </c>
      <c r="K49" s="28" t="s">
        <v>2312</v>
      </c>
      <c r="L49" s="28" t="s">
        <v>2316</v>
      </c>
      <c r="M49" s="28" t="s">
        <v>121</v>
      </c>
      <c r="N49" s="28" t="s">
        <v>201</v>
      </c>
      <c r="O49" s="28"/>
      <c r="P49" s="28" t="s">
        <v>101</v>
      </c>
      <c r="Q49" s="28"/>
      <c r="R49" s="28"/>
    </row>
    <row r="50" customFormat="false" ht="15" hidden="false" customHeight="false" outlineLevel="0" collapsed="false">
      <c r="A50" s="28" t="s">
        <v>2317</v>
      </c>
      <c r="B50" s="28" t="s">
        <v>2209</v>
      </c>
      <c r="C50" s="28" t="s">
        <v>2210</v>
      </c>
      <c r="D50" s="28" t="s">
        <v>2278</v>
      </c>
      <c r="E50" s="28" t="s">
        <v>2279</v>
      </c>
      <c r="F50" s="28"/>
      <c r="G50" s="28" t="s">
        <v>734</v>
      </c>
      <c r="H50" s="28" t="s">
        <v>750</v>
      </c>
      <c r="I50" s="28" t="s">
        <v>2220</v>
      </c>
      <c r="J50" s="28" t="s">
        <v>2318</v>
      </c>
      <c r="K50" s="28" t="s">
        <v>2319</v>
      </c>
      <c r="L50" s="28" t="s">
        <v>2320</v>
      </c>
      <c r="M50" s="28" t="s">
        <v>121</v>
      </c>
      <c r="N50" s="28" t="s">
        <v>201</v>
      </c>
      <c r="O50" s="28"/>
      <c r="P50" s="28" t="s">
        <v>101</v>
      </c>
      <c r="Q50" s="28"/>
      <c r="R50" s="28"/>
    </row>
    <row r="51" customFormat="false" ht="15" hidden="false" customHeight="false" outlineLevel="0" collapsed="false">
      <c r="A51" s="28" t="s">
        <v>2321</v>
      </c>
      <c r="B51" s="28" t="s">
        <v>2209</v>
      </c>
      <c r="C51" s="28" t="s">
        <v>2210</v>
      </c>
      <c r="D51" s="28" t="s">
        <v>102</v>
      </c>
      <c r="E51" s="28"/>
      <c r="F51" s="28"/>
      <c r="G51" s="28" t="s">
        <v>669</v>
      </c>
      <c r="H51" s="28" t="s">
        <v>2322</v>
      </c>
      <c r="I51" s="28" t="s">
        <v>2251</v>
      </c>
      <c r="J51" s="39" t="s">
        <v>2323</v>
      </c>
      <c r="K51" s="28" t="s">
        <v>2324</v>
      </c>
      <c r="L51" s="28" t="s">
        <v>2325</v>
      </c>
      <c r="M51" s="28" t="s">
        <v>111</v>
      </c>
      <c r="N51" s="28" t="s">
        <v>201</v>
      </c>
      <c r="O51" s="28"/>
      <c r="P51" s="28" t="s">
        <v>101</v>
      </c>
      <c r="Q51" s="28"/>
      <c r="R51" s="28"/>
    </row>
    <row r="52" customFormat="false" ht="15" hidden="false" customHeight="false" outlineLevel="0" collapsed="false">
      <c r="A52" s="28" t="s">
        <v>2326</v>
      </c>
      <c r="B52" s="28" t="s">
        <v>2209</v>
      </c>
      <c r="C52" s="28" t="s">
        <v>2210</v>
      </c>
      <c r="D52" s="28" t="s">
        <v>102</v>
      </c>
      <c r="E52" s="28"/>
      <c r="F52" s="28"/>
      <c r="G52" s="28" t="s">
        <v>669</v>
      </c>
      <c r="H52" s="28" t="s">
        <v>2327</v>
      </c>
      <c r="I52" s="28" t="s">
        <v>2220</v>
      </c>
      <c r="J52" s="39" t="s">
        <v>2323</v>
      </c>
      <c r="K52" s="28" t="s">
        <v>2324</v>
      </c>
      <c r="L52" s="28" t="s">
        <v>2328</v>
      </c>
      <c r="M52" s="28" t="s">
        <v>121</v>
      </c>
      <c r="N52" s="28" t="s">
        <v>201</v>
      </c>
      <c r="O52" s="28"/>
      <c r="P52" s="28" t="s">
        <v>101</v>
      </c>
      <c r="Q52" s="28"/>
      <c r="R52" s="28"/>
    </row>
    <row r="53" customFormat="false" ht="15" hidden="false" customHeight="false" outlineLevel="0" collapsed="false">
      <c r="A53" s="28" t="s">
        <v>2329</v>
      </c>
      <c r="B53" s="28" t="s">
        <v>2209</v>
      </c>
      <c r="C53" s="28" t="s">
        <v>2210</v>
      </c>
      <c r="D53" s="28" t="s">
        <v>102</v>
      </c>
      <c r="E53" s="28"/>
      <c r="F53" s="28"/>
      <c r="G53" s="28" t="s">
        <v>669</v>
      </c>
      <c r="H53" s="28" t="s">
        <v>2327</v>
      </c>
      <c r="I53" s="28" t="s">
        <v>2220</v>
      </c>
      <c r="J53" s="39" t="s">
        <v>2323</v>
      </c>
      <c r="K53" s="28" t="s">
        <v>2324</v>
      </c>
      <c r="L53" s="28" t="s">
        <v>2330</v>
      </c>
      <c r="M53" s="28" t="s">
        <v>121</v>
      </c>
      <c r="N53" s="28" t="s">
        <v>201</v>
      </c>
      <c r="O53" s="28"/>
      <c r="P53" s="28" t="s">
        <v>101</v>
      </c>
      <c r="Q53" s="28"/>
      <c r="R53" s="28"/>
    </row>
    <row r="54" customFormat="false" ht="15" hidden="false" customHeight="false" outlineLevel="0" collapsed="false">
      <c r="A54" s="28" t="s">
        <v>2331</v>
      </c>
      <c r="B54" s="28" t="s">
        <v>2209</v>
      </c>
      <c r="C54" s="28" t="s">
        <v>2210</v>
      </c>
      <c r="D54" s="28" t="s">
        <v>102</v>
      </c>
      <c r="E54" s="28"/>
      <c r="F54" s="28"/>
      <c r="G54" s="28" t="s">
        <v>669</v>
      </c>
      <c r="H54" s="28" t="s">
        <v>2332</v>
      </c>
      <c r="I54" s="28" t="s">
        <v>2220</v>
      </c>
      <c r="J54" s="28" t="s">
        <v>2333</v>
      </c>
      <c r="K54" s="28" t="s">
        <v>2334</v>
      </c>
      <c r="L54" s="28" t="s">
        <v>2335</v>
      </c>
      <c r="M54" s="28" t="s">
        <v>121</v>
      </c>
      <c r="N54" s="28" t="s">
        <v>201</v>
      </c>
      <c r="O54" s="28"/>
      <c r="P54" s="28" t="s">
        <v>101</v>
      </c>
      <c r="Q54" s="28"/>
      <c r="R54" s="28"/>
    </row>
    <row r="55" customFormat="false" ht="15" hidden="false" customHeight="false" outlineLevel="0" collapsed="false">
      <c r="A55" s="28" t="s">
        <v>2336</v>
      </c>
      <c r="B55" s="28" t="s">
        <v>2209</v>
      </c>
      <c r="C55" s="28" t="s">
        <v>2210</v>
      </c>
      <c r="D55" s="28" t="s">
        <v>102</v>
      </c>
      <c r="E55" s="28"/>
      <c r="F55" s="28"/>
      <c r="G55" s="28" t="s">
        <v>669</v>
      </c>
      <c r="H55" s="28" t="s">
        <v>2332</v>
      </c>
      <c r="I55" s="28" t="s">
        <v>2220</v>
      </c>
      <c r="J55" s="28" t="s">
        <v>2333</v>
      </c>
      <c r="K55" s="28" t="s">
        <v>2334</v>
      </c>
      <c r="L55" s="28" t="s">
        <v>2337</v>
      </c>
      <c r="M55" s="28" t="s">
        <v>121</v>
      </c>
      <c r="N55" s="28" t="s">
        <v>201</v>
      </c>
      <c r="O55" s="28"/>
      <c r="P55" s="28" t="s">
        <v>101</v>
      </c>
      <c r="Q55" s="28"/>
      <c r="R55" s="28"/>
    </row>
    <row r="56" customFormat="false" ht="15" hidden="false" customHeight="false" outlineLevel="0" collapsed="false">
      <c r="A56" s="28" t="s">
        <v>2338</v>
      </c>
      <c r="B56" s="28" t="s">
        <v>2209</v>
      </c>
      <c r="C56" s="28" t="s">
        <v>2210</v>
      </c>
      <c r="D56" s="28" t="s">
        <v>102</v>
      </c>
      <c r="E56" s="28"/>
      <c r="F56" s="28"/>
      <c r="G56" s="28" t="s">
        <v>669</v>
      </c>
      <c r="H56" s="28" t="s">
        <v>2339</v>
      </c>
      <c r="I56" s="28" t="s">
        <v>2220</v>
      </c>
      <c r="J56" s="28" t="s">
        <v>2340</v>
      </c>
      <c r="K56" s="28" t="s">
        <v>2341</v>
      </c>
      <c r="L56" s="28" t="s">
        <v>2342</v>
      </c>
      <c r="M56" s="28" t="s">
        <v>121</v>
      </c>
      <c r="N56" s="28" t="s">
        <v>201</v>
      </c>
      <c r="O56" s="28"/>
      <c r="P56" s="28" t="s">
        <v>101</v>
      </c>
      <c r="Q56" s="28"/>
      <c r="R56" s="28"/>
    </row>
    <row r="57" customFormat="false" ht="15" hidden="false" customHeight="false" outlineLevel="0" collapsed="false">
      <c r="A57" s="28" t="s">
        <v>2343</v>
      </c>
      <c r="B57" s="28" t="s">
        <v>2209</v>
      </c>
      <c r="C57" s="28" t="s">
        <v>2210</v>
      </c>
      <c r="D57" s="28" t="s">
        <v>102</v>
      </c>
      <c r="E57" s="28"/>
      <c r="F57" s="28"/>
      <c r="G57" s="28" t="s">
        <v>669</v>
      </c>
      <c r="H57" s="28" t="s">
        <v>2339</v>
      </c>
      <c r="I57" s="28" t="s">
        <v>2220</v>
      </c>
      <c r="J57" s="28" t="s">
        <v>2340</v>
      </c>
      <c r="K57" s="28" t="s">
        <v>2341</v>
      </c>
      <c r="L57" s="28" t="s">
        <v>2344</v>
      </c>
      <c r="M57" s="28" t="s">
        <v>121</v>
      </c>
      <c r="N57" s="28" t="s">
        <v>201</v>
      </c>
      <c r="O57" s="28"/>
      <c r="P57" s="28" t="s">
        <v>101</v>
      </c>
      <c r="Q57" s="28"/>
      <c r="R57" s="28"/>
    </row>
    <row r="58" customFormat="false" ht="15" hidden="false" customHeight="false" outlineLevel="0" collapsed="false">
      <c r="A58" s="28" t="s">
        <v>2345</v>
      </c>
      <c r="B58" s="28" t="s">
        <v>2209</v>
      </c>
      <c r="C58" s="28" t="s">
        <v>2210</v>
      </c>
      <c r="D58" s="28" t="s">
        <v>102</v>
      </c>
      <c r="E58" s="28"/>
      <c r="F58" s="28"/>
      <c r="G58" s="28" t="s">
        <v>669</v>
      </c>
      <c r="H58" s="28" t="s">
        <v>2346</v>
      </c>
      <c r="I58" s="28" t="s">
        <v>2217</v>
      </c>
      <c r="J58" s="39" t="s">
        <v>2347</v>
      </c>
      <c r="K58" s="28" t="s">
        <v>2348</v>
      </c>
      <c r="L58" s="28" t="s">
        <v>2349</v>
      </c>
      <c r="M58" s="28" t="s">
        <v>99</v>
      </c>
      <c r="N58" s="28" t="s">
        <v>201</v>
      </c>
      <c r="O58" s="28"/>
      <c r="P58" s="28" t="s">
        <v>101</v>
      </c>
      <c r="Q58" s="28"/>
      <c r="R58" s="28"/>
    </row>
    <row r="59" customFormat="false" ht="15" hidden="false" customHeight="false" outlineLevel="0" collapsed="false">
      <c r="A59" s="28" t="s">
        <v>2350</v>
      </c>
      <c r="B59" s="28" t="s">
        <v>2209</v>
      </c>
      <c r="C59" s="28" t="s">
        <v>2210</v>
      </c>
      <c r="D59" s="28" t="s">
        <v>102</v>
      </c>
      <c r="E59" s="28"/>
      <c r="F59" s="28"/>
      <c r="G59" s="28" t="s">
        <v>669</v>
      </c>
      <c r="H59" s="28" t="s">
        <v>2351</v>
      </c>
      <c r="I59" s="28" t="s">
        <v>2220</v>
      </c>
      <c r="J59" s="39" t="s">
        <v>2352</v>
      </c>
      <c r="K59" s="28" t="s">
        <v>2353</v>
      </c>
      <c r="L59" s="28" t="s">
        <v>2354</v>
      </c>
      <c r="M59" s="28" t="s">
        <v>121</v>
      </c>
      <c r="N59" s="28" t="s">
        <v>201</v>
      </c>
      <c r="O59" s="28"/>
      <c r="P59" s="28" t="s">
        <v>101</v>
      </c>
      <c r="Q59" s="28"/>
      <c r="R59" s="28"/>
    </row>
    <row r="60" customFormat="false" ht="15" hidden="false" customHeight="false" outlineLevel="0" collapsed="false">
      <c r="A60" s="28" t="s">
        <v>2355</v>
      </c>
      <c r="B60" s="28" t="s">
        <v>2209</v>
      </c>
      <c r="C60" s="28" t="s">
        <v>2210</v>
      </c>
      <c r="D60" s="28"/>
      <c r="E60" s="28"/>
      <c r="F60" s="28"/>
      <c r="G60" s="28" t="s">
        <v>671</v>
      </c>
      <c r="H60" s="28" t="s">
        <v>2356</v>
      </c>
      <c r="I60" s="28" t="s">
        <v>2220</v>
      </c>
      <c r="J60" s="39" t="s">
        <v>2357</v>
      </c>
      <c r="K60" s="28" t="s">
        <v>2358</v>
      </c>
      <c r="L60" s="28" t="s">
        <v>2359</v>
      </c>
      <c r="M60" s="28" t="s">
        <v>121</v>
      </c>
      <c r="N60" s="28" t="s">
        <v>201</v>
      </c>
      <c r="O60" s="28"/>
      <c r="P60" s="28" t="s">
        <v>101</v>
      </c>
      <c r="Q60" s="28"/>
      <c r="R60" s="28"/>
    </row>
    <row r="61" customFormat="false" ht="15" hidden="false" customHeight="false" outlineLevel="0" collapsed="false">
      <c r="A61" s="28" t="s">
        <v>2360</v>
      </c>
      <c r="B61" s="28" t="s">
        <v>2209</v>
      </c>
      <c r="C61" s="28" t="s">
        <v>2210</v>
      </c>
      <c r="D61" s="28" t="s">
        <v>2278</v>
      </c>
      <c r="E61" s="28" t="s">
        <v>2361</v>
      </c>
      <c r="F61" s="28"/>
      <c r="G61" s="28" t="s">
        <v>2362</v>
      </c>
      <c r="H61" s="39" t="s">
        <v>2363</v>
      </c>
      <c r="I61" s="28" t="s">
        <v>2251</v>
      </c>
      <c r="J61" s="39" t="s">
        <v>2364</v>
      </c>
      <c r="K61" s="28" t="s">
        <v>2365</v>
      </c>
      <c r="L61" s="28" t="s">
        <v>2366</v>
      </c>
      <c r="M61" s="28" t="s">
        <v>111</v>
      </c>
      <c r="N61" s="28" t="s">
        <v>201</v>
      </c>
      <c r="O61" s="28"/>
      <c r="P61" s="28" t="s">
        <v>101</v>
      </c>
      <c r="Q61" s="28"/>
      <c r="R61" s="28"/>
    </row>
    <row r="62" customFormat="false" ht="15" hidden="false" customHeight="false" outlineLevel="0" collapsed="false">
      <c r="A62" s="28" t="s">
        <v>2367</v>
      </c>
      <c r="B62" s="28" t="s">
        <v>2209</v>
      </c>
      <c r="C62" s="28" t="s">
        <v>2210</v>
      </c>
      <c r="D62" s="28"/>
      <c r="E62" s="28"/>
      <c r="F62" s="28"/>
      <c r="G62" s="28" t="s">
        <v>671</v>
      </c>
      <c r="H62" s="28" t="s">
        <v>2368</v>
      </c>
      <c r="I62" s="28" t="s">
        <v>2220</v>
      </c>
      <c r="J62" s="39" t="s">
        <v>2364</v>
      </c>
      <c r="K62" s="28" t="s">
        <v>2365</v>
      </c>
      <c r="L62" s="28" t="s">
        <v>2369</v>
      </c>
      <c r="M62" s="28" t="s">
        <v>121</v>
      </c>
      <c r="N62" s="28" t="s">
        <v>201</v>
      </c>
      <c r="O62" s="28"/>
      <c r="P62" s="28" t="s">
        <v>101</v>
      </c>
      <c r="Q62" s="28"/>
      <c r="R62" s="28"/>
    </row>
    <row r="63" customFormat="false" ht="15" hidden="false" customHeight="false" outlineLevel="0" collapsed="false">
      <c r="A63" s="28" t="s">
        <v>2370</v>
      </c>
      <c r="B63" s="28" t="s">
        <v>2209</v>
      </c>
      <c r="C63" s="28" t="s">
        <v>2210</v>
      </c>
      <c r="D63" s="28"/>
      <c r="E63" s="28"/>
      <c r="F63" s="28"/>
      <c r="G63" s="28" t="s">
        <v>671</v>
      </c>
      <c r="H63" s="28" t="s">
        <v>2368</v>
      </c>
      <c r="I63" s="28" t="s">
        <v>2220</v>
      </c>
      <c r="J63" s="39" t="s">
        <v>2364</v>
      </c>
      <c r="K63" s="28" t="s">
        <v>2365</v>
      </c>
      <c r="L63" s="28" t="s">
        <v>2371</v>
      </c>
      <c r="M63" s="28" t="s">
        <v>121</v>
      </c>
      <c r="N63" s="28" t="s">
        <v>201</v>
      </c>
      <c r="O63" s="28"/>
      <c r="P63" s="28" t="s">
        <v>101</v>
      </c>
      <c r="Q63" s="28"/>
      <c r="R63" s="28"/>
    </row>
    <row r="64" customFormat="false" ht="15" hidden="false" customHeight="false" outlineLevel="0" collapsed="false">
      <c r="A64" s="28" t="s">
        <v>2372</v>
      </c>
      <c r="B64" s="28" t="s">
        <v>2209</v>
      </c>
      <c r="C64" s="28" t="s">
        <v>2210</v>
      </c>
      <c r="D64" s="28" t="s">
        <v>2278</v>
      </c>
      <c r="E64" s="28" t="s">
        <v>2361</v>
      </c>
      <c r="F64" s="28"/>
      <c r="G64" s="28" t="s">
        <v>734</v>
      </c>
      <c r="H64" s="28" t="s">
        <v>2373</v>
      </c>
      <c r="I64" s="28" t="s">
        <v>2220</v>
      </c>
      <c r="J64" s="28" t="s">
        <v>2374</v>
      </c>
      <c r="K64" s="28" t="s">
        <v>2375</v>
      </c>
      <c r="L64" s="28" t="s">
        <v>2376</v>
      </c>
      <c r="M64" s="28" t="s">
        <v>121</v>
      </c>
      <c r="N64" s="28" t="s">
        <v>201</v>
      </c>
      <c r="O64" s="28"/>
      <c r="P64" s="28" t="s">
        <v>101</v>
      </c>
      <c r="Q64" s="28"/>
      <c r="R64" s="28"/>
    </row>
    <row r="65" customFormat="false" ht="15" hidden="false" customHeight="false" outlineLevel="0" collapsed="false">
      <c r="A65" s="28" t="s">
        <v>2377</v>
      </c>
      <c r="B65" s="28" t="s">
        <v>2209</v>
      </c>
      <c r="C65" s="28" t="s">
        <v>2210</v>
      </c>
      <c r="D65" s="28" t="s">
        <v>2278</v>
      </c>
      <c r="E65" s="28" t="s">
        <v>2361</v>
      </c>
      <c r="F65" s="28"/>
      <c r="G65" s="28" t="s">
        <v>734</v>
      </c>
      <c r="H65" s="28" t="s">
        <v>2373</v>
      </c>
      <c r="I65" s="28" t="s">
        <v>2220</v>
      </c>
      <c r="J65" s="28" t="s">
        <v>2374</v>
      </c>
      <c r="K65" s="28" t="s">
        <v>2375</v>
      </c>
      <c r="L65" s="28" t="s">
        <v>2378</v>
      </c>
      <c r="M65" s="28" t="s">
        <v>121</v>
      </c>
      <c r="N65" s="28" t="s">
        <v>201</v>
      </c>
      <c r="O65" s="28"/>
      <c r="P65" s="28" t="s">
        <v>101</v>
      </c>
      <c r="Q65" s="28"/>
      <c r="R65" s="28"/>
    </row>
    <row r="66" customFormat="false" ht="15" hidden="false" customHeight="false" outlineLevel="0" collapsed="false">
      <c r="A66" s="28" t="s">
        <v>2379</v>
      </c>
      <c r="B66" s="28" t="s">
        <v>2209</v>
      </c>
      <c r="C66" s="28" t="s">
        <v>2210</v>
      </c>
      <c r="D66" s="28"/>
      <c r="E66" s="28"/>
      <c r="F66" s="28"/>
      <c r="G66" s="28" t="s">
        <v>671</v>
      </c>
      <c r="H66" s="28" t="s">
        <v>2380</v>
      </c>
      <c r="I66" s="28" t="s">
        <v>2217</v>
      </c>
      <c r="J66" s="39" t="s">
        <v>2381</v>
      </c>
      <c r="K66" s="28" t="s">
        <v>2382</v>
      </c>
      <c r="L66" s="28" t="s">
        <v>2383</v>
      </c>
      <c r="M66" s="28" t="s">
        <v>99</v>
      </c>
      <c r="N66" s="28" t="s">
        <v>201</v>
      </c>
      <c r="O66" s="28"/>
      <c r="P66" s="28" t="s">
        <v>101</v>
      </c>
      <c r="Q66" s="28"/>
      <c r="R66" s="28"/>
    </row>
    <row r="67" customFormat="false" ht="15" hidden="false" customHeight="false" outlineLevel="0" collapsed="false">
      <c r="A67" s="28" t="s">
        <v>2384</v>
      </c>
      <c r="B67" s="28" t="s">
        <v>2209</v>
      </c>
      <c r="C67" s="28" t="s">
        <v>2210</v>
      </c>
      <c r="D67" s="28"/>
      <c r="E67" s="28"/>
      <c r="F67" s="28"/>
      <c r="G67" s="28" t="s">
        <v>671</v>
      </c>
      <c r="H67" s="28" t="s">
        <v>2385</v>
      </c>
      <c r="I67" s="28" t="s">
        <v>2220</v>
      </c>
      <c r="J67" s="39" t="s">
        <v>2381</v>
      </c>
      <c r="K67" s="28" t="s">
        <v>2382</v>
      </c>
      <c r="L67" s="28" t="s">
        <v>2386</v>
      </c>
      <c r="M67" s="28" t="s">
        <v>121</v>
      </c>
      <c r="N67" s="28" t="s">
        <v>201</v>
      </c>
      <c r="O67" s="28"/>
      <c r="P67" s="28" t="s">
        <v>101</v>
      </c>
      <c r="Q67" s="28"/>
      <c r="R67" s="28"/>
    </row>
    <row r="68" customFormat="false" ht="15" hidden="false" customHeight="false" outlineLevel="0" collapsed="false">
      <c r="A68" s="28" t="s">
        <v>2387</v>
      </c>
      <c r="B68" s="28" t="s">
        <v>2209</v>
      </c>
      <c r="C68" s="28" t="s">
        <v>2210</v>
      </c>
      <c r="D68" s="28"/>
      <c r="E68" s="28"/>
      <c r="F68" s="28"/>
      <c r="G68" s="28" t="s">
        <v>671</v>
      </c>
      <c r="H68" s="28" t="s">
        <v>2388</v>
      </c>
      <c r="I68" s="28" t="s">
        <v>2217</v>
      </c>
      <c r="J68" s="39" t="s">
        <v>2389</v>
      </c>
      <c r="K68" s="28" t="s">
        <v>2390</v>
      </c>
      <c r="L68" s="28" t="s">
        <v>2391</v>
      </c>
      <c r="M68" s="28" t="s">
        <v>99</v>
      </c>
      <c r="N68" s="28" t="s">
        <v>201</v>
      </c>
      <c r="O68" s="28"/>
      <c r="P68" s="28" t="s">
        <v>101</v>
      </c>
      <c r="Q68" s="28"/>
      <c r="R68" s="28"/>
    </row>
    <row r="69" customFormat="false" ht="15" hidden="false" customHeight="false" outlineLevel="0" collapsed="false">
      <c r="A69" s="28" t="s">
        <v>2392</v>
      </c>
      <c r="B69" s="28" t="s">
        <v>2209</v>
      </c>
      <c r="C69" s="28" t="s">
        <v>2210</v>
      </c>
      <c r="D69" s="28" t="s">
        <v>102</v>
      </c>
      <c r="E69" s="28"/>
      <c r="F69" s="28"/>
      <c r="G69" s="28" t="s">
        <v>2393</v>
      </c>
      <c r="H69" s="39" t="s">
        <v>2394</v>
      </c>
      <c r="I69" s="28" t="s">
        <v>2220</v>
      </c>
      <c r="J69" s="39" t="s">
        <v>2389</v>
      </c>
      <c r="K69" s="28" t="s">
        <v>2390</v>
      </c>
      <c r="L69" s="28" t="s">
        <v>2395</v>
      </c>
      <c r="M69" s="28" t="s">
        <v>121</v>
      </c>
      <c r="N69" s="28" t="s">
        <v>201</v>
      </c>
      <c r="O69" s="28"/>
      <c r="P69" s="28" t="s">
        <v>101</v>
      </c>
      <c r="Q69" s="28"/>
      <c r="R69" s="28"/>
    </row>
    <row r="70" customFormat="false" ht="15" hidden="false" customHeight="false" outlineLevel="0" collapsed="false">
      <c r="A70" s="28" t="s">
        <v>2396</v>
      </c>
      <c r="B70" s="28" t="s">
        <v>2209</v>
      </c>
      <c r="C70" s="28" t="s">
        <v>2210</v>
      </c>
      <c r="D70" s="28"/>
      <c r="E70" s="28"/>
      <c r="F70" s="28"/>
      <c r="G70" s="28" t="s">
        <v>671</v>
      </c>
      <c r="H70" s="28" t="s">
        <v>2397</v>
      </c>
      <c r="I70" s="28" t="s">
        <v>2217</v>
      </c>
      <c r="J70" s="39" t="s">
        <v>2398</v>
      </c>
      <c r="K70" s="28" t="s">
        <v>2399</v>
      </c>
      <c r="L70" s="28" t="s">
        <v>2400</v>
      </c>
      <c r="M70" s="28" t="s">
        <v>99</v>
      </c>
      <c r="N70" s="28" t="s">
        <v>201</v>
      </c>
      <c r="O70" s="28"/>
      <c r="P70" s="28" t="s">
        <v>101</v>
      </c>
      <c r="Q70" s="28"/>
      <c r="R70" s="28"/>
    </row>
    <row r="71" customFormat="false" ht="15" hidden="false" customHeight="false" outlineLevel="0" collapsed="false">
      <c r="A71" s="28" t="s">
        <v>2401</v>
      </c>
      <c r="B71" s="28" t="s">
        <v>2209</v>
      </c>
      <c r="C71" s="28" t="s">
        <v>2210</v>
      </c>
      <c r="D71" s="28"/>
      <c r="E71" s="28"/>
      <c r="F71" s="28"/>
      <c r="G71" s="28" t="s">
        <v>671</v>
      </c>
      <c r="H71" s="28" t="s">
        <v>2402</v>
      </c>
      <c r="I71" s="28" t="s">
        <v>2220</v>
      </c>
      <c r="J71" s="39" t="s">
        <v>2403</v>
      </c>
      <c r="K71" s="28" t="s">
        <v>2404</v>
      </c>
      <c r="L71" s="28" t="s">
        <v>2405</v>
      </c>
      <c r="M71" s="28" t="s">
        <v>121</v>
      </c>
      <c r="N71" s="28" t="s">
        <v>201</v>
      </c>
      <c r="O71" s="28"/>
      <c r="P71" s="28" t="s">
        <v>101</v>
      </c>
      <c r="Q71" s="28"/>
      <c r="R71" s="28"/>
    </row>
    <row r="72" customFormat="false" ht="15" hidden="false" customHeight="false" outlineLevel="0" collapsed="false">
      <c r="A72" s="28" t="s">
        <v>2406</v>
      </c>
      <c r="B72" s="28" t="s">
        <v>2209</v>
      </c>
      <c r="C72" s="28" t="s">
        <v>2210</v>
      </c>
      <c r="D72" s="28" t="s">
        <v>102</v>
      </c>
      <c r="E72" s="28" t="s">
        <v>2407</v>
      </c>
      <c r="F72" s="28"/>
      <c r="G72" s="28" t="s">
        <v>669</v>
      </c>
      <c r="H72" s="28" t="s">
        <v>2408</v>
      </c>
      <c r="I72" s="28" t="s">
        <v>2211</v>
      </c>
      <c r="J72" s="28" t="s">
        <v>2409</v>
      </c>
      <c r="K72" s="28" t="s">
        <v>2410</v>
      </c>
      <c r="L72" s="28" t="s">
        <v>2411</v>
      </c>
      <c r="M72" s="28" t="s">
        <v>111</v>
      </c>
      <c r="N72" s="28" t="s">
        <v>201</v>
      </c>
      <c r="O72" s="28"/>
      <c r="P72" s="28" t="s">
        <v>101</v>
      </c>
      <c r="Q72" s="28"/>
      <c r="R72" s="28"/>
    </row>
    <row r="73" customFormat="false" ht="15" hidden="false" customHeight="false" outlineLevel="0" collapsed="false">
      <c r="A73" s="28" t="s">
        <v>2412</v>
      </c>
      <c r="B73" s="28" t="s">
        <v>2209</v>
      </c>
      <c r="C73" s="28" t="s">
        <v>2210</v>
      </c>
      <c r="D73" s="28" t="s">
        <v>102</v>
      </c>
      <c r="E73" s="28" t="s">
        <v>2407</v>
      </c>
      <c r="F73" s="28"/>
      <c r="G73" s="28" t="s">
        <v>669</v>
      </c>
      <c r="H73" s="28" t="s">
        <v>2408</v>
      </c>
      <c r="I73" s="28" t="s">
        <v>2220</v>
      </c>
      <c r="J73" s="28" t="s">
        <v>2409</v>
      </c>
      <c r="K73" s="28" t="s">
        <v>2410</v>
      </c>
      <c r="L73" s="28" t="s">
        <v>2413</v>
      </c>
      <c r="M73" s="28" t="s">
        <v>121</v>
      </c>
      <c r="N73" s="28" t="s">
        <v>201</v>
      </c>
      <c r="O73" s="28"/>
      <c r="P73" s="28" t="s">
        <v>101</v>
      </c>
      <c r="Q73" s="28"/>
      <c r="R73" s="28"/>
    </row>
    <row r="74" customFormat="false" ht="15" hidden="false" customHeight="false" outlineLevel="0" collapsed="false">
      <c r="A74" s="28" t="s">
        <v>2414</v>
      </c>
      <c r="B74" s="28" t="s">
        <v>2209</v>
      </c>
      <c r="C74" s="28" t="s">
        <v>2210</v>
      </c>
      <c r="D74" s="28" t="s">
        <v>102</v>
      </c>
      <c r="E74" s="28" t="s">
        <v>2407</v>
      </c>
      <c r="F74" s="28"/>
      <c r="G74" s="28" t="s">
        <v>669</v>
      </c>
      <c r="H74" s="28" t="s">
        <v>2415</v>
      </c>
      <c r="I74" s="28" t="s">
        <v>2220</v>
      </c>
      <c r="J74" s="28" t="s">
        <v>2409</v>
      </c>
      <c r="K74" s="28" t="s">
        <v>2410</v>
      </c>
      <c r="L74" s="28" t="s">
        <v>2416</v>
      </c>
      <c r="M74" s="28" t="s">
        <v>121</v>
      </c>
      <c r="N74" s="28" t="s">
        <v>201</v>
      </c>
      <c r="O74" s="28"/>
      <c r="P74" s="28" t="s">
        <v>101</v>
      </c>
      <c r="Q74" s="28"/>
      <c r="R74" s="28"/>
    </row>
    <row r="75" customFormat="false" ht="15" hidden="false" customHeight="false" outlineLevel="0" collapsed="false">
      <c r="A75" s="28" t="s">
        <v>2417</v>
      </c>
      <c r="B75" s="28" t="s">
        <v>2209</v>
      </c>
      <c r="C75" s="28" t="s">
        <v>2210</v>
      </c>
      <c r="D75" s="28" t="s">
        <v>102</v>
      </c>
      <c r="E75" s="28" t="s">
        <v>2407</v>
      </c>
      <c r="F75" s="28"/>
      <c r="G75" s="28" t="s">
        <v>669</v>
      </c>
      <c r="H75" s="28" t="s">
        <v>2418</v>
      </c>
      <c r="I75" s="28" t="s">
        <v>2220</v>
      </c>
      <c r="J75" s="28" t="s">
        <v>2419</v>
      </c>
      <c r="K75" s="28" t="s">
        <v>2420</v>
      </c>
      <c r="L75" s="28" t="s">
        <v>2421</v>
      </c>
      <c r="M75" s="28" t="s">
        <v>121</v>
      </c>
      <c r="N75" s="28" t="s">
        <v>201</v>
      </c>
      <c r="O75" s="28"/>
      <c r="P75" s="28" t="s">
        <v>101</v>
      </c>
      <c r="Q75" s="28"/>
      <c r="R75" s="28"/>
    </row>
    <row r="76" customFormat="false" ht="15" hidden="false" customHeight="false" outlineLevel="0" collapsed="false">
      <c r="A76" s="28" t="s">
        <v>2422</v>
      </c>
      <c r="B76" s="28" t="s">
        <v>2209</v>
      </c>
      <c r="C76" s="28" t="s">
        <v>2210</v>
      </c>
      <c r="D76" s="28" t="s">
        <v>102</v>
      </c>
      <c r="E76" s="28" t="s">
        <v>2407</v>
      </c>
      <c r="F76" s="28"/>
      <c r="G76" s="28" t="s">
        <v>669</v>
      </c>
      <c r="H76" s="28" t="s">
        <v>2423</v>
      </c>
      <c r="I76" s="28" t="s">
        <v>2211</v>
      </c>
      <c r="J76" s="28" t="s">
        <v>2424</v>
      </c>
      <c r="K76" s="28" t="s">
        <v>2425</v>
      </c>
      <c r="L76" s="28" t="s">
        <v>2426</v>
      </c>
      <c r="M76" s="28" t="s">
        <v>111</v>
      </c>
      <c r="N76" s="28" t="s">
        <v>201</v>
      </c>
      <c r="O76" s="28"/>
      <c r="P76" s="28" t="s">
        <v>101</v>
      </c>
      <c r="Q76" s="28"/>
      <c r="R76" s="28"/>
    </row>
    <row r="77" customFormat="false" ht="15" hidden="false" customHeight="false" outlineLevel="0" collapsed="false">
      <c r="A77" s="28" t="s">
        <v>2427</v>
      </c>
      <c r="B77" s="28" t="s">
        <v>2209</v>
      </c>
      <c r="C77" s="28" t="s">
        <v>2210</v>
      </c>
      <c r="D77" s="28" t="s">
        <v>102</v>
      </c>
      <c r="E77" s="28" t="s">
        <v>2407</v>
      </c>
      <c r="F77" s="28"/>
      <c r="G77" s="28" t="s">
        <v>669</v>
      </c>
      <c r="H77" s="28" t="s">
        <v>2423</v>
      </c>
      <c r="I77" s="28" t="s">
        <v>2251</v>
      </c>
      <c r="J77" s="28" t="s">
        <v>2424</v>
      </c>
      <c r="K77" s="28" t="s">
        <v>2425</v>
      </c>
      <c r="L77" s="28" t="s">
        <v>2428</v>
      </c>
      <c r="M77" s="28" t="s">
        <v>111</v>
      </c>
      <c r="N77" s="28" t="s">
        <v>201</v>
      </c>
      <c r="O77" s="28"/>
      <c r="P77" s="28" t="s">
        <v>101</v>
      </c>
      <c r="Q77" s="28"/>
      <c r="R77" s="28"/>
    </row>
    <row r="78" customFormat="false" ht="15" hidden="false" customHeight="false" outlineLevel="0" collapsed="false">
      <c r="A78" s="28" t="s">
        <v>2429</v>
      </c>
      <c r="B78" s="28" t="s">
        <v>2209</v>
      </c>
      <c r="C78" s="28" t="s">
        <v>2210</v>
      </c>
      <c r="D78" s="28" t="s">
        <v>102</v>
      </c>
      <c r="E78" s="28" t="s">
        <v>2407</v>
      </c>
      <c r="F78" s="28"/>
      <c r="G78" s="28" t="s">
        <v>669</v>
      </c>
      <c r="H78" s="28" t="s">
        <v>2423</v>
      </c>
      <c r="I78" s="28" t="s">
        <v>2251</v>
      </c>
      <c r="J78" s="28" t="s">
        <v>2424</v>
      </c>
      <c r="K78" s="28" t="s">
        <v>2425</v>
      </c>
      <c r="L78" s="28" t="s">
        <v>2430</v>
      </c>
      <c r="M78" s="28" t="s">
        <v>111</v>
      </c>
      <c r="N78" s="28" t="s">
        <v>201</v>
      </c>
      <c r="O78" s="28"/>
      <c r="P78" s="28" t="s">
        <v>101</v>
      </c>
      <c r="Q78" s="28"/>
      <c r="R78" s="28"/>
    </row>
    <row r="79" customFormat="false" ht="15" hidden="false" customHeight="false" outlineLevel="0" collapsed="false">
      <c r="A79" s="28" t="s">
        <v>2431</v>
      </c>
      <c r="B79" s="28" t="s">
        <v>2209</v>
      </c>
      <c r="C79" s="28" t="s">
        <v>2210</v>
      </c>
      <c r="D79" s="28" t="s">
        <v>102</v>
      </c>
      <c r="E79" s="28" t="s">
        <v>2407</v>
      </c>
      <c r="F79" s="28"/>
      <c r="G79" s="28" t="s">
        <v>669</v>
      </c>
      <c r="H79" s="28" t="s">
        <v>2423</v>
      </c>
      <c r="I79" s="28" t="s">
        <v>2220</v>
      </c>
      <c r="J79" s="28" t="s">
        <v>2424</v>
      </c>
      <c r="K79" s="28" t="s">
        <v>2425</v>
      </c>
      <c r="L79" s="28" t="s">
        <v>2432</v>
      </c>
      <c r="M79" s="28" t="s">
        <v>121</v>
      </c>
      <c r="N79" s="28" t="s">
        <v>201</v>
      </c>
      <c r="O79" s="28"/>
      <c r="P79" s="28" t="s">
        <v>101</v>
      </c>
      <c r="Q79" s="28"/>
      <c r="R79" s="28"/>
    </row>
    <row r="80" customFormat="false" ht="15" hidden="false" customHeight="false" outlineLevel="0" collapsed="false">
      <c r="A80" s="28" t="s">
        <v>2433</v>
      </c>
      <c r="B80" s="28" t="s">
        <v>2209</v>
      </c>
      <c r="C80" s="28" t="s">
        <v>2210</v>
      </c>
      <c r="D80" s="28"/>
      <c r="E80" s="28"/>
      <c r="F80" s="28"/>
      <c r="G80" s="28" t="s">
        <v>671</v>
      </c>
      <c r="H80" s="28" t="s">
        <v>669</v>
      </c>
      <c r="I80" s="28" t="s">
        <v>2211</v>
      </c>
      <c r="J80" s="39" t="s">
        <v>2434</v>
      </c>
      <c r="K80" s="28" t="s">
        <v>2435</v>
      </c>
      <c r="L80" s="28" t="s">
        <v>2436</v>
      </c>
      <c r="M80" s="28" t="s">
        <v>111</v>
      </c>
      <c r="N80" s="28" t="s">
        <v>201</v>
      </c>
      <c r="O80" s="28"/>
      <c r="P80" s="28" t="s">
        <v>101</v>
      </c>
      <c r="Q80" s="28"/>
      <c r="R80" s="28"/>
    </row>
    <row r="81" customFormat="false" ht="15" hidden="false" customHeight="false" outlineLevel="0" collapsed="false">
      <c r="A81" s="28" t="s">
        <v>2437</v>
      </c>
      <c r="B81" s="28" t="s">
        <v>2209</v>
      </c>
      <c r="C81" s="28" t="s">
        <v>2210</v>
      </c>
      <c r="D81" s="28"/>
      <c r="E81" s="28"/>
      <c r="F81" s="28"/>
      <c r="G81" s="28" t="s">
        <v>671</v>
      </c>
      <c r="H81" s="28" t="s">
        <v>673</v>
      </c>
      <c r="I81" s="28" t="s">
        <v>2251</v>
      </c>
      <c r="J81" s="39" t="s">
        <v>2438</v>
      </c>
      <c r="K81" s="28" t="s">
        <v>2439</v>
      </c>
      <c r="L81" s="28" t="s">
        <v>2440</v>
      </c>
      <c r="M81" s="28" t="s">
        <v>111</v>
      </c>
      <c r="N81" s="28" t="s">
        <v>201</v>
      </c>
      <c r="O81" s="28"/>
      <c r="P81" s="28" t="s">
        <v>101</v>
      </c>
      <c r="Q81" s="28"/>
      <c r="R81" s="28"/>
    </row>
    <row r="82" customFormat="false" ht="15" hidden="false" customHeight="false" outlineLevel="0" collapsed="false">
      <c r="A82" s="28" t="s">
        <v>2441</v>
      </c>
      <c r="B82" s="28" t="s">
        <v>2209</v>
      </c>
      <c r="C82" s="28" t="s">
        <v>2210</v>
      </c>
      <c r="D82" s="28" t="s">
        <v>102</v>
      </c>
      <c r="E82" s="28"/>
      <c r="F82" s="28"/>
      <c r="G82" s="28" t="s">
        <v>669</v>
      </c>
      <c r="H82" s="28" t="s">
        <v>2442</v>
      </c>
      <c r="I82" s="28" t="s">
        <v>2251</v>
      </c>
      <c r="J82" s="28" t="s">
        <v>2443</v>
      </c>
      <c r="K82" s="28" t="s">
        <v>2444</v>
      </c>
      <c r="L82" s="28" t="s">
        <v>2445</v>
      </c>
      <c r="M82" s="28" t="s">
        <v>111</v>
      </c>
      <c r="N82" s="28" t="s">
        <v>201</v>
      </c>
      <c r="O82" s="28"/>
      <c r="P82" s="28" t="s">
        <v>101</v>
      </c>
      <c r="Q82" s="28"/>
      <c r="R82" s="28"/>
    </row>
    <row r="83" customFormat="false" ht="15" hidden="false" customHeight="false" outlineLevel="0" collapsed="false">
      <c r="A83" s="28" t="s">
        <v>2446</v>
      </c>
      <c r="B83" s="28" t="s">
        <v>2209</v>
      </c>
      <c r="C83" s="28" t="s">
        <v>2210</v>
      </c>
      <c r="D83" s="28" t="s">
        <v>102</v>
      </c>
      <c r="E83" s="28"/>
      <c r="F83" s="28"/>
      <c r="G83" s="28" t="s">
        <v>669</v>
      </c>
      <c r="H83" s="28" t="s">
        <v>2447</v>
      </c>
      <c r="I83" s="28" t="s">
        <v>2220</v>
      </c>
      <c r="J83" s="28" t="s">
        <v>2443</v>
      </c>
      <c r="K83" s="28" t="s">
        <v>2444</v>
      </c>
      <c r="L83" s="28" t="s">
        <v>2448</v>
      </c>
      <c r="M83" s="28" t="s">
        <v>121</v>
      </c>
      <c r="N83" s="28" t="s">
        <v>201</v>
      </c>
      <c r="O83" s="28"/>
      <c r="P83" s="28" t="s">
        <v>101</v>
      </c>
      <c r="Q83" s="28"/>
      <c r="R83" s="28"/>
    </row>
    <row r="84" customFormat="false" ht="15" hidden="false" customHeight="false" outlineLevel="0" collapsed="false">
      <c r="A84" s="28" t="s">
        <v>2449</v>
      </c>
      <c r="B84" s="28" t="s">
        <v>2209</v>
      </c>
      <c r="C84" s="28" t="s">
        <v>2210</v>
      </c>
      <c r="D84" s="28" t="s">
        <v>102</v>
      </c>
      <c r="E84" s="28"/>
      <c r="F84" s="28"/>
      <c r="G84" s="28" t="s">
        <v>669</v>
      </c>
      <c r="H84" s="28" t="s">
        <v>2450</v>
      </c>
      <c r="I84" s="28" t="s">
        <v>2220</v>
      </c>
      <c r="J84" s="28" t="s">
        <v>2443</v>
      </c>
      <c r="K84" s="28" t="s">
        <v>2444</v>
      </c>
      <c r="L84" s="28" t="s">
        <v>2451</v>
      </c>
      <c r="M84" s="28" t="s">
        <v>121</v>
      </c>
      <c r="N84" s="28" t="s">
        <v>201</v>
      </c>
      <c r="O84" s="28"/>
      <c r="P84" s="28" t="s">
        <v>101</v>
      </c>
      <c r="Q84" s="28"/>
      <c r="R84" s="28"/>
    </row>
    <row r="85" customFormat="false" ht="15" hidden="false" customHeight="false" outlineLevel="0" collapsed="false">
      <c r="A85" s="28" t="s">
        <v>2452</v>
      </c>
      <c r="B85" s="28" t="s">
        <v>2209</v>
      </c>
      <c r="C85" s="28" t="s">
        <v>2210</v>
      </c>
      <c r="D85" s="28" t="s">
        <v>102</v>
      </c>
      <c r="E85" s="28"/>
      <c r="F85" s="28"/>
      <c r="G85" s="28" t="s">
        <v>669</v>
      </c>
      <c r="H85" s="28" t="s">
        <v>2453</v>
      </c>
      <c r="I85" s="28" t="s">
        <v>2251</v>
      </c>
      <c r="J85" s="28" t="s">
        <v>2454</v>
      </c>
      <c r="K85" s="28" t="s">
        <v>2455</v>
      </c>
      <c r="L85" s="28" t="s">
        <v>2456</v>
      </c>
      <c r="M85" s="28" t="s">
        <v>111</v>
      </c>
      <c r="N85" s="28" t="s">
        <v>201</v>
      </c>
      <c r="O85" s="28"/>
      <c r="P85" s="28" t="s">
        <v>101</v>
      </c>
      <c r="Q85" s="28"/>
      <c r="R85" s="28"/>
    </row>
    <row r="86" customFormat="false" ht="15" hidden="false" customHeight="false" outlineLevel="0" collapsed="false">
      <c r="A86" s="28" t="s">
        <v>2457</v>
      </c>
      <c r="B86" s="28" t="s">
        <v>2209</v>
      </c>
      <c r="C86" s="28" t="s">
        <v>2210</v>
      </c>
      <c r="D86" s="28"/>
      <c r="E86" s="28"/>
      <c r="F86" s="28"/>
      <c r="G86" s="28" t="s">
        <v>671</v>
      </c>
      <c r="H86" s="28" t="s">
        <v>2458</v>
      </c>
      <c r="I86" s="28" t="s">
        <v>2217</v>
      </c>
      <c r="J86" s="39" t="s">
        <v>2459</v>
      </c>
      <c r="K86" s="28" t="s">
        <v>2460</v>
      </c>
      <c r="L86" s="28" t="s">
        <v>2461</v>
      </c>
      <c r="M86" s="28" t="s">
        <v>99</v>
      </c>
      <c r="N86" s="28" t="s">
        <v>201</v>
      </c>
      <c r="O86" s="28"/>
      <c r="P86" s="28" t="s">
        <v>101</v>
      </c>
      <c r="Q86" s="28"/>
      <c r="R86" s="28"/>
    </row>
    <row r="87" customFormat="false" ht="15" hidden="false" customHeight="false" outlineLevel="0" collapsed="false">
      <c r="A87" s="28" t="s">
        <v>2462</v>
      </c>
      <c r="B87" s="28" t="s">
        <v>2209</v>
      </c>
      <c r="C87" s="28" t="s">
        <v>2210</v>
      </c>
      <c r="D87" s="28"/>
      <c r="E87" s="28"/>
      <c r="F87" s="28"/>
      <c r="G87" s="28" t="s">
        <v>671</v>
      </c>
      <c r="H87" s="28" t="s">
        <v>2332</v>
      </c>
      <c r="I87" s="28" t="s">
        <v>2211</v>
      </c>
      <c r="J87" s="39" t="s">
        <v>2463</v>
      </c>
      <c r="K87" s="28" t="s">
        <v>2464</v>
      </c>
      <c r="L87" s="28" t="s">
        <v>2465</v>
      </c>
      <c r="M87" s="28" t="s">
        <v>111</v>
      </c>
      <c r="N87" s="28" t="s">
        <v>201</v>
      </c>
      <c r="O87" s="28"/>
      <c r="P87" s="28" t="s">
        <v>101</v>
      </c>
      <c r="Q87" s="28"/>
      <c r="R87" s="28"/>
    </row>
    <row r="88" customFormat="false" ht="15" hidden="false" customHeight="false" outlineLevel="0" collapsed="false">
      <c r="A88" s="28" t="s">
        <v>2466</v>
      </c>
      <c r="B88" s="28" t="s">
        <v>2209</v>
      </c>
      <c r="C88" s="28" t="s">
        <v>2210</v>
      </c>
      <c r="D88" s="28"/>
      <c r="E88" s="28"/>
      <c r="F88" s="28"/>
      <c r="G88" s="28" t="s">
        <v>671</v>
      </c>
      <c r="H88" s="28" t="s">
        <v>782</v>
      </c>
      <c r="I88" s="28" t="s">
        <v>2217</v>
      </c>
      <c r="J88" s="39" t="s">
        <v>2467</v>
      </c>
      <c r="K88" s="28" t="s">
        <v>2468</v>
      </c>
      <c r="L88" s="28" t="s">
        <v>2469</v>
      </c>
      <c r="M88" s="28" t="s">
        <v>99</v>
      </c>
      <c r="N88" s="28" t="s">
        <v>201</v>
      </c>
      <c r="O88" s="28"/>
      <c r="P88" s="28" t="s">
        <v>101</v>
      </c>
      <c r="Q88" s="28"/>
      <c r="R88" s="28"/>
    </row>
    <row r="89" customFormat="false" ht="15" hidden="false" customHeight="false" outlineLevel="0" collapsed="false">
      <c r="A89" s="28" t="s">
        <v>2470</v>
      </c>
      <c r="B89" s="28" t="s">
        <v>2209</v>
      </c>
      <c r="C89" s="28" t="s">
        <v>2210</v>
      </c>
      <c r="D89" s="28" t="s">
        <v>102</v>
      </c>
      <c r="E89" s="28"/>
      <c r="F89" s="28"/>
      <c r="G89" s="28" t="s">
        <v>669</v>
      </c>
      <c r="H89" s="28" t="s">
        <v>788</v>
      </c>
      <c r="I89" s="28" t="s">
        <v>2211</v>
      </c>
      <c r="J89" s="39" t="s">
        <v>2471</v>
      </c>
      <c r="K89" s="28" t="s">
        <v>2472</v>
      </c>
      <c r="L89" s="39" t="s">
        <v>2473</v>
      </c>
      <c r="M89" s="28" t="s">
        <v>111</v>
      </c>
      <c r="N89" s="28" t="s">
        <v>201</v>
      </c>
      <c r="O89" s="28"/>
      <c r="P89" s="28" t="s">
        <v>101</v>
      </c>
      <c r="Q89" s="28"/>
      <c r="R89" s="28"/>
    </row>
    <row r="90" customFormat="false" ht="15" hidden="false" customHeight="false" outlineLevel="0" collapsed="false">
      <c r="A90" s="28" t="s">
        <v>2474</v>
      </c>
      <c r="B90" s="28" t="s">
        <v>2209</v>
      </c>
      <c r="C90" s="28" t="s">
        <v>2210</v>
      </c>
      <c r="D90" s="28"/>
      <c r="E90" s="28"/>
      <c r="F90" s="28"/>
      <c r="G90" s="28" t="s">
        <v>673</v>
      </c>
      <c r="H90" s="28" t="s">
        <v>2475</v>
      </c>
      <c r="I90" s="28" t="s">
        <v>2217</v>
      </c>
      <c r="J90" s="39" t="s">
        <v>2476</v>
      </c>
      <c r="K90" s="28" t="s">
        <v>2477</v>
      </c>
      <c r="L90" s="28" t="s">
        <v>2478</v>
      </c>
      <c r="M90" s="28" t="s">
        <v>99</v>
      </c>
      <c r="N90" s="28" t="s">
        <v>201</v>
      </c>
      <c r="O90" s="28"/>
      <c r="P90" s="28" t="s">
        <v>101</v>
      </c>
      <c r="Q90" s="28"/>
      <c r="R90" s="28"/>
    </row>
    <row r="91" customFormat="false" ht="15" hidden="false" customHeight="false" outlineLevel="0" collapsed="false">
      <c r="A91" s="28" t="s">
        <v>2479</v>
      </c>
      <c r="B91" s="28" t="s">
        <v>2209</v>
      </c>
      <c r="C91" s="28" t="s">
        <v>2210</v>
      </c>
      <c r="D91" s="28"/>
      <c r="E91" s="28"/>
      <c r="F91" s="28"/>
      <c r="G91" s="28" t="s">
        <v>673</v>
      </c>
      <c r="H91" s="28" t="s">
        <v>2480</v>
      </c>
      <c r="I91" s="28" t="s">
        <v>2220</v>
      </c>
      <c r="J91" s="39" t="s">
        <v>2476</v>
      </c>
      <c r="K91" s="28" t="s">
        <v>2477</v>
      </c>
      <c r="L91" s="39" t="s">
        <v>2481</v>
      </c>
      <c r="M91" s="28" t="s">
        <v>121</v>
      </c>
      <c r="N91" s="28" t="s">
        <v>201</v>
      </c>
      <c r="O91" s="28"/>
      <c r="P91" s="28" t="s">
        <v>101</v>
      </c>
      <c r="Q91" s="28"/>
      <c r="R91" s="28"/>
    </row>
    <row r="92" customFormat="false" ht="15" hidden="false" customHeight="false" outlineLevel="0" collapsed="false">
      <c r="A92" s="28" t="s">
        <v>2482</v>
      </c>
      <c r="B92" s="28" t="s">
        <v>2209</v>
      </c>
      <c r="C92" s="28" t="s">
        <v>2210</v>
      </c>
      <c r="D92" s="28"/>
      <c r="E92" s="28"/>
      <c r="F92" s="28"/>
      <c r="G92" s="28" t="s">
        <v>673</v>
      </c>
      <c r="H92" s="28" t="s">
        <v>2483</v>
      </c>
      <c r="I92" s="28" t="s">
        <v>2217</v>
      </c>
      <c r="J92" s="39" t="s">
        <v>2484</v>
      </c>
      <c r="K92" s="28" t="s">
        <v>2485</v>
      </c>
      <c r="L92" s="28" t="s">
        <v>2486</v>
      </c>
      <c r="M92" s="28" t="s">
        <v>99</v>
      </c>
      <c r="N92" s="28" t="s">
        <v>201</v>
      </c>
      <c r="O92" s="28"/>
      <c r="P92" s="28" t="s">
        <v>101</v>
      </c>
      <c r="Q92" s="28"/>
      <c r="R92" s="28"/>
    </row>
    <row r="93" customFormat="false" ht="15" hidden="false" customHeight="false" outlineLevel="0" collapsed="false">
      <c r="A93" s="28" t="s">
        <v>2487</v>
      </c>
      <c r="B93" s="28" t="s">
        <v>2209</v>
      </c>
      <c r="C93" s="28" t="s">
        <v>2210</v>
      </c>
      <c r="D93" s="28"/>
      <c r="E93" s="28"/>
      <c r="F93" s="28"/>
      <c r="G93" s="28" t="s">
        <v>673</v>
      </c>
      <c r="H93" s="28" t="s">
        <v>788</v>
      </c>
      <c r="I93" s="28" t="s">
        <v>2220</v>
      </c>
      <c r="J93" s="39" t="s">
        <v>2488</v>
      </c>
      <c r="K93" s="39" t="s">
        <v>2489</v>
      </c>
      <c r="L93" s="28" t="s">
        <v>2490</v>
      </c>
      <c r="M93" s="28" t="s">
        <v>121</v>
      </c>
      <c r="N93" s="28" t="s">
        <v>201</v>
      </c>
      <c r="O93" s="28"/>
      <c r="P93" s="28" t="s">
        <v>101</v>
      </c>
      <c r="Q93" s="28"/>
      <c r="R93" s="28"/>
    </row>
    <row r="94" customFormat="false" ht="15" hidden="false" customHeight="false" outlineLevel="0" collapsed="false">
      <c r="A94" s="28" t="s">
        <v>2491</v>
      </c>
      <c r="B94" s="28" t="s">
        <v>2209</v>
      </c>
      <c r="C94" s="28" t="s">
        <v>2210</v>
      </c>
      <c r="D94" s="28"/>
      <c r="E94" s="28"/>
      <c r="F94" s="28"/>
      <c r="G94" s="28" t="s">
        <v>673</v>
      </c>
      <c r="H94" s="28" t="s">
        <v>788</v>
      </c>
      <c r="I94" s="28" t="s">
        <v>2220</v>
      </c>
      <c r="J94" s="39" t="s">
        <v>2488</v>
      </c>
      <c r="K94" s="39" t="s">
        <v>2489</v>
      </c>
      <c r="L94" s="28" t="s">
        <v>2492</v>
      </c>
      <c r="M94" s="28" t="s">
        <v>121</v>
      </c>
      <c r="N94" s="28" t="s">
        <v>201</v>
      </c>
      <c r="O94" s="28"/>
      <c r="P94" s="28" t="s">
        <v>101</v>
      </c>
      <c r="Q94" s="28"/>
      <c r="R94" s="28"/>
    </row>
    <row r="95" customFormat="false" ht="15" hidden="false" customHeight="false" outlineLevel="0" collapsed="false">
      <c r="A95" s="28" t="s">
        <v>2493</v>
      </c>
      <c r="B95" s="28" t="s">
        <v>2209</v>
      </c>
      <c r="C95" s="28" t="s">
        <v>2210</v>
      </c>
      <c r="D95" s="28"/>
      <c r="E95" s="28"/>
      <c r="F95" s="28"/>
      <c r="G95" s="28" t="s">
        <v>673</v>
      </c>
      <c r="H95" s="28" t="s">
        <v>683</v>
      </c>
      <c r="I95" s="28" t="s">
        <v>2217</v>
      </c>
      <c r="J95" s="39" t="s">
        <v>2494</v>
      </c>
      <c r="K95" s="28" t="s">
        <v>2495</v>
      </c>
      <c r="L95" s="28" t="s">
        <v>2496</v>
      </c>
      <c r="M95" s="28" t="s">
        <v>99</v>
      </c>
      <c r="N95" s="28" t="s">
        <v>201</v>
      </c>
      <c r="O95" s="28"/>
      <c r="P95" s="28" t="s">
        <v>101</v>
      </c>
      <c r="Q95" s="28"/>
      <c r="R95" s="28"/>
    </row>
    <row r="96" customFormat="false" ht="15" hidden="false" customHeight="false" outlineLevel="0" collapsed="false">
      <c r="A96" s="28" t="s">
        <v>2497</v>
      </c>
      <c r="B96" s="28" t="s">
        <v>2209</v>
      </c>
      <c r="C96" s="28" t="s">
        <v>2210</v>
      </c>
      <c r="D96" s="28" t="s">
        <v>102</v>
      </c>
      <c r="E96" s="28"/>
      <c r="F96" s="28"/>
      <c r="G96" s="28" t="s">
        <v>669</v>
      </c>
      <c r="H96" s="28" t="s">
        <v>681</v>
      </c>
      <c r="I96" s="28" t="s">
        <v>2220</v>
      </c>
      <c r="J96" s="28" t="s">
        <v>2498</v>
      </c>
      <c r="K96" s="28" t="s">
        <v>2499</v>
      </c>
      <c r="L96" s="28" t="s">
        <v>2500</v>
      </c>
      <c r="M96" s="28" t="s">
        <v>121</v>
      </c>
      <c r="N96" s="28" t="s">
        <v>201</v>
      </c>
      <c r="O96" s="28"/>
      <c r="P96" s="28" t="s">
        <v>101</v>
      </c>
      <c r="Q96" s="28"/>
      <c r="R96" s="28"/>
    </row>
    <row r="97" customFormat="false" ht="15" hidden="false" customHeight="false" outlineLevel="0" collapsed="false">
      <c r="A97" s="28" t="s">
        <v>2501</v>
      </c>
      <c r="B97" s="28" t="s">
        <v>2209</v>
      </c>
      <c r="C97" s="28" t="s">
        <v>2210</v>
      </c>
      <c r="D97" s="28" t="s">
        <v>102</v>
      </c>
      <c r="E97" s="28" t="s">
        <v>2407</v>
      </c>
      <c r="F97" s="28"/>
      <c r="G97" s="28" t="s">
        <v>669</v>
      </c>
      <c r="H97" s="28" t="s">
        <v>2502</v>
      </c>
      <c r="I97" s="28" t="s">
        <v>2251</v>
      </c>
      <c r="J97" s="28" t="s">
        <v>2503</v>
      </c>
      <c r="K97" s="28" t="s">
        <v>2504</v>
      </c>
      <c r="L97" s="28" t="s">
        <v>2505</v>
      </c>
      <c r="M97" s="28" t="s">
        <v>111</v>
      </c>
      <c r="N97" s="28" t="s">
        <v>201</v>
      </c>
      <c r="O97" s="28"/>
      <c r="P97" s="28" t="s">
        <v>101</v>
      </c>
      <c r="Q97" s="28"/>
      <c r="R97" s="28"/>
    </row>
    <row r="98" customFormat="false" ht="15" hidden="false" customHeight="false" outlineLevel="0" collapsed="false">
      <c r="A98" s="28" t="s">
        <v>2506</v>
      </c>
      <c r="B98" s="28" t="s">
        <v>2209</v>
      </c>
      <c r="C98" s="28" t="s">
        <v>2210</v>
      </c>
      <c r="D98" s="28"/>
      <c r="E98" s="28"/>
      <c r="F98" s="28"/>
      <c r="G98" s="28" t="s">
        <v>671</v>
      </c>
      <c r="H98" s="28" t="s">
        <v>671</v>
      </c>
      <c r="I98" s="28" t="s">
        <v>2251</v>
      </c>
      <c r="J98" s="39" t="s">
        <v>2507</v>
      </c>
      <c r="K98" s="28" t="s">
        <v>2508</v>
      </c>
      <c r="L98" s="28" t="s">
        <v>2509</v>
      </c>
      <c r="M98" s="28" t="s">
        <v>111</v>
      </c>
      <c r="N98" s="28" t="s">
        <v>201</v>
      </c>
      <c r="O98" s="28"/>
      <c r="P98" s="28" t="s">
        <v>101</v>
      </c>
      <c r="Q98" s="28"/>
      <c r="R98" s="28"/>
    </row>
    <row r="99" customFormat="false" ht="15" hidden="false" customHeight="false" outlineLevel="0" collapsed="false">
      <c r="A99" s="28" t="s">
        <v>2510</v>
      </c>
      <c r="B99" s="28" t="s">
        <v>2209</v>
      </c>
      <c r="C99" s="28" t="s">
        <v>2210</v>
      </c>
      <c r="D99" s="28"/>
      <c r="E99" s="28"/>
      <c r="F99" s="28"/>
      <c r="G99" s="28" t="s">
        <v>671</v>
      </c>
      <c r="H99" s="28" t="s">
        <v>2511</v>
      </c>
      <c r="I99" s="28" t="s">
        <v>2251</v>
      </c>
      <c r="J99" s="39" t="s">
        <v>2512</v>
      </c>
      <c r="K99" s="28" t="s">
        <v>2513</v>
      </c>
      <c r="L99" s="28" t="s">
        <v>2514</v>
      </c>
      <c r="M99" s="28" t="s">
        <v>111</v>
      </c>
      <c r="N99" s="28" t="s">
        <v>201</v>
      </c>
      <c r="O99" s="28"/>
      <c r="P99" s="28" t="s">
        <v>101</v>
      </c>
      <c r="Q99" s="28"/>
      <c r="R99" s="28"/>
    </row>
    <row r="100" customFormat="false" ht="15" hidden="false" customHeight="false" outlineLevel="0" collapsed="false">
      <c r="A100" s="28" t="s">
        <v>2515</v>
      </c>
      <c r="B100" s="28" t="s">
        <v>2209</v>
      </c>
      <c r="C100" s="28" t="s">
        <v>2210</v>
      </c>
      <c r="D100" s="28"/>
      <c r="E100" s="28"/>
      <c r="F100" s="28"/>
      <c r="G100" s="28" t="s">
        <v>671</v>
      </c>
      <c r="H100" s="28" t="s">
        <v>2516</v>
      </c>
      <c r="I100" s="28" t="s">
        <v>2220</v>
      </c>
      <c r="J100" s="39" t="s">
        <v>2512</v>
      </c>
      <c r="K100" s="28" t="s">
        <v>2513</v>
      </c>
      <c r="L100" s="28" t="s">
        <v>2517</v>
      </c>
      <c r="M100" s="28" t="s">
        <v>121</v>
      </c>
      <c r="N100" s="28" t="s">
        <v>201</v>
      </c>
      <c r="O100" s="28"/>
      <c r="P100" s="28" t="s">
        <v>101</v>
      </c>
      <c r="Q100" s="28"/>
      <c r="R100" s="28"/>
    </row>
    <row r="101" customFormat="false" ht="15" hidden="false" customHeight="false" outlineLevel="0" collapsed="false">
      <c r="A101" s="28" t="s">
        <v>2518</v>
      </c>
      <c r="B101" s="28" t="s">
        <v>2209</v>
      </c>
      <c r="C101" s="28" t="s">
        <v>2210</v>
      </c>
      <c r="D101" s="28"/>
      <c r="E101" s="28"/>
      <c r="F101" s="28"/>
      <c r="G101" s="28" t="s">
        <v>671</v>
      </c>
      <c r="H101" s="28" t="s">
        <v>2258</v>
      </c>
      <c r="I101" s="28" t="s">
        <v>2220</v>
      </c>
      <c r="J101" s="39" t="s">
        <v>2519</v>
      </c>
      <c r="K101" s="28" t="s">
        <v>2520</v>
      </c>
      <c r="L101" s="28" t="s">
        <v>2521</v>
      </c>
      <c r="M101" s="28" t="s">
        <v>121</v>
      </c>
      <c r="N101" s="28" t="s">
        <v>201</v>
      </c>
      <c r="O101" s="28"/>
      <c r="P101" s="28" t="s">
        <v>101</v>
      </c>
      <c r="Q101" s="28"/>
      <c r="R101" s="28"/>
    </row>
    <row r="102" customFormat="false" ht="15" hidden="false" customHeight="false" outlineLevel="0" collapsed="false">
      <c r="A102" s="28" t="s">
        <v>2522</v>
      </c>
      <c r="B102" s="28" t="s">
        <v>2209</v>
      </c>
      <c r="C102" s="28" t="s">
        <v>2210</v>
      </c>
      <c r="D102" s="28"/>
      <c r="E102" s="28"/>
      <c r="F102" s="28"/>
      <c r="G102" s="28" t="s">
        <v>673</v>
      </c>
      <c r="H102" s="28" t="s">
        <v>2241</v>
      </c>
      <c r="I102" s="28" t="s">
        <v>2220</v>
      </c>
      <c r="J102" s="39" t="s">
        <v>2523</v>
      </c>
      <c r="K102" s="28" t="s">
        <v>2524</v>
      </c>
      <c r="L102" s="28" t="s">
        <v>2525</v>
      </c>
      <c r="M102" s="28" t="s">
        <v>121</v>
      </c>
      <c r="N102" s="28" t="s">
        <v>201</v>
      </c>
      <c r="O102" s="28"/>
      <c r="P102" s="28" t="s">
        <v>101</v>
      </c>
      <c r="Q102" s="28"/>
      <c r="R102" s="28"/>
    </row>
    <row r="103" customFormat="false" ht="15" hidden="false" customHeight="false" outlineLevel="0" collapsed="false">
      <c r="A103" s="28" t="s">
        <v>2526</v>
      </c>
      <c r="B103" s="28" t="s">
        <v>2209</v>
      </c>
      <c r="C103" s="28" t="s">
        <v>2210</v>
      </c>
      <c r="D103" s="28" t="s">
        <v>102</v>
      </c>
      <c r="E103" s="28"/>
      <c r="F103" s="28"/>
      <c r="G103" s="28" t="s">
        <v>675</v>
      </c>
      <c r="H103" s="28" t="s">
        <v>2527</v>
      </c>
      <c r="I103" s="28" t="s">
        <v>2251</v>
      </c>
      <c r="J103" s="39" t="s">
        <v>2528</v>
      </c>
      <c r="K103" s="28" t="s">
        <v>2529</v>
      </c>
      <c r="L103" s="28" t="s">
        <v>2530</v>
      </c>
      <c r="M103" s="28" t="s">
        <v>111</v>
      </c>
      <c r="N103" s="28" t="s">
        <v>201</v>
      </c>
      <c r="O103" s="28"/>
      <c r="P103" s="28" t="s">
        <v>101</v>
      </c>
      <c r="Q103" s="28"/>
      <c r="R103" s="28"/>
    </row>
    <row r="104" customFormat="false" ht="15" hidden="false" customHeight="false" outlineLevel="0" collapsed="false">
      <c r="A104" s="28" t="s">
        <v>2531</v>
      </c>
      <c r="B104" s="28" t="s">
        <v>2209</v>
      </c>
      <c r="C104" s="28" t="s">
        <v>2210</v>
      </c>
      <c r="D104" s="28" t="s">
        <v>102</v>
      </c>
      <c r="E104" s="28"/>
      <c r="F104" s="28"/>
      <c r="G104" s="28" t="s">
        <v>675</v>
      </c>
      <c r="H104" s="28" t="s">
        <v>2532</v>
      </c>
      <c r="I104" s="28" t="s">
        <v>2217</v>
      </c>
      <c r="J104" s="39" t="s">
        <v>2528</v>
      </c>
      <c r="K104" s="28" t="s">
        <v>2529</v>
      </c>
      <c r="L104" s="28" t="s">
        <v>2533</v>
      </c>
      <c r="M104" s="28" t="s">
        <v>99</v>
      </c>
      <c r="N104" s="28" t="s">
        <v>201</v>
      </c>
      <c r="O104" s="28"/>
      <c r="P104" s="28" t="s">
        <v>101</v>
      </c>
      <c r="Q104" s="28"/>
      <c r="R104" s="28"/>
    </row>
    <row r="105" customFormat="false" ht="15" hidden="false" customHeight="false" outlineLevel="0" collapsed="false">
      <c r="A105" s="28" t="s">
        <v>2534</v>
      </c>
      <c r="B105" s="28" t="s">
        <v>2209</v>
      </c>
      <c r="C105" s="28" t="s">
        <v>2210</v>
      </c>
      <c r="D105" s="28" t="s">
        <v>102</v>
      </c>
      <c r="E105" s="28"/>
      <c r="F105" s="28"/>
      <c r="G105" s="28" t="s">
        <v>675</v>
      </c>
      <c r="H105" s="28" t="s">
        <v>2535</v>
      </c>
      <c r="I105" s="28" t="s">
        <v>2220</v>
      </c>
      <c r="J105" s="39" t="s">
        <v>2528</v>
      </c>
      <c r="K105" s="28" t="s">
        <v>2529</v>
      </c>
      <c r="L105" s="28" t="s">
        <v>2536</v>
      </c>
      <c r="M105" s="28" t="s">
        <v>121</v>
      </c>
      <c r="N105" s="28" t="s">
        <v>201</v>
      </c>
      <c r="O105" s="28"/>
      <c r="P105" s="28" t="s">
        <v>101</v>
      </c>
      <c r="Q105" s="28"/>
      <c r="R105" s="28"/>
    </row>
    <row r="106" customFormat="false" ht="15" hidden="false" customHeight="false" outlineLevel="0" collapsed="false">
      <c r="A106" s="28" t="s">
        <v>2537</v>
      </c>
      <c r="B106" s="28" t="s">
        <v>2209</v>
      </c>
      <c r="C106" s="28" t="s">
        <v>2210</v>
      </c>
      <c r="D106" s="28"/>
      <c r="E106" s="28"/>
      <c r="F106" s="28"/>
      <c r="G106" s="28" t="s">
        <v>671</v>
      </c>
      <c r="H106" s="28" t="s">
        <v>2423</v>
      </c>
      <c r="I106" s="28" t="s">
        <v>2211</v>
      </c>
      <c r="J106" s="39" t="s">
        <v>2538</v>
      </c>
      <c r="K106" s="28" t="s">
        <v>2539</v>
      </c>
      <c r="L106" s="28" t="s">
        <v>2540</v>
      </c>
      <c r="M106" s="28" t="s">
        <v>111</v>
      </c>
      <c r="N106" s="28" t="s">
        <v>201</v>
      </c>
      <c r="O106" s="28"/>
      <c r="P106" s="28" t="s">
        <v>101</v>
      </c>
      <c r="Q106" s="28"/>
      <c r="R106" s="28"/>
    </row>
    <row r="107" customFormat="false" ht="15" hidden="false" customHeight="false" outlineLevel="0" collapsed="false">
      <c r="A107" s="28" t="s">
        <v>2541</v>
      </c>
      <c r="B107" s="28" t="s">
        <v>2209</v>
      </c>
      <c r="C107" s="28" t="s">
        <v>2210</v>
      </c>
      <c r="D107" s="28" t="s">
        <v>102</v>
      </c>
      <c r="E107" s="28"/>
      <c r="F107" s="28"/>
      <c r="G107" s="28" t="s">
        <v>675</v>
      </c>
      <c r="H107" s="28" t="s">
        <v>2542</v>
      </c>
      <c r="I107" s="28" t="s">
        <v>2251</v>
      </c>
      <c r="J107" s="28" t="s">
        <v>2543</v>
      </c>
      <c r="K107" s="28" t="s">
        <v>2544</v>
      </c>
      <c r="L107" s="28" t="s">
        <v>2545</v>
      </c>
      <c r="M107" s="28" t="s">
        <v>111</v>
      </c>
      <c r="N107" s="28" t="s">
        <v>201</v>
      </c>
      <c r="O107" s="28"/>
      <c r="P107" s="28" t="s">
        <v>101</v>
      </c>
      <c r="Q107" s="28"/>
      <c r="R107" s="28"/>
    </row>
    <row r="108" customFormat="false" ht="15" hidden="false" customHeight="false" outlineLevel="0" collapsed="false">
      <c r="A108" s="28" t="s">
        <v>2546</v>
      </c>
      <c r="B108" s="28" t="s">
        <v>2209</v>
      </c>
      <c r="C108" s="28" t="s">
        <v>2210</v>
      </c>
      <c r="D108" s="28"/>
      <c r="E108" s="28"/>
      <c r="F108" s="28"/>
      <c r="G108" s="28" t="s">
        <v>671</v>
      </c>
      <c r="H108" s="28" t="s">
        <v>794</v>
      </c>
      <c r="I108" s="28" t="s">
        <v>2211</v>
      </c>
      <c r="J108" s="39" t="s">
        <v>2547</v>
      </c>
      <c r="K108" s="28" t="s">
        <v>2548</v>
      </c>
      <c r="L108" s="39" t="s">
        <v>2549</v>
      </c>
      <c r="M108" s="28" t="s">
        <v>111</v>
      </c>
      <c r="N108" s="28" t="s">
        <v>201</v>
      </c>
      <c r="O108" s="28"/>
      <c r="P108" s="28" t="s">
        <v>101</v>
      </c>
      <c r="Q108" s="28"/>
      <c r="R108" s="28"/>
    </row>
    <row r="109" customFormat="false" ht="15" hidden="false" customHeight="false" outlineLevel="0" collapsed="false">
      <c r="A109" s="28" t="s">
        <v>2550</v>
      </c>
      <c r="B109" s="28" t="s">
        <v>2209</v>
      </c>
      <c r="C109" s="28" t="s">
        <v>2210</v>
      </c>
      <c r="D109" s="28"/>
      <c r="E109" s="28"/>
      <c r="F109" s="28"/>
      <c r="G109" s="28" t="s">
        <v>671</v>
      </c>
      <c r="H109" s="28" t="s">
        <v>794</v>
      </c>
      <c r="I109" s="28" t="s">
        <v>2217</v>
      </c>
      <c r="J109" s="39" t="s">
        <v>2547</v>
      </c>
      <c r="K109" s="28" t="s">
        <v>2548</v>
      </c>
      <c r="L109" s="28" t="s">
        <v>2551</v>
      </c>
      <c r="M109" s="28" t="s">
        <v>99</v>
      </c>
      <c r="N109" s="28" t="s">
        <v>201</v>
      </c>
      <c r="O109" s="28"/>
      <c r="P109" s="28" t="s">
        <v>101</v>
      </c>
      <c r="Q109" s="28"/>
      <c r="R109" s="28"/>
    </row>
    <row r="110" customFormat="false" ht="15" hidden="false" customHeight="false" outlineLevel="0" collapsed="false">
      <c r="A110" s="28" t="s">
        <v>2552</v>
      </c>
      <c r="B110" s="28" t="s">
        <v>2209</v>
      </c>
      <c r="C110" s="28" t="s">
        <v>2210</v>
      </c>
      <c r="D110" s="28"/>
      <c r="E110" s="28"/>
      <c r="F110" s="28"/>
      <c r="G110" s="28" t="s">
        <v>671</v>
      </c>
      <c r="H110" s="28" t="s">
        <v>2553</v>
      </c>
      <c r="I110" s="28" t="s">
        <v>2220</v>
      </c>
      <c r="J110" s="39" t="s">
        <v>2554</v>
      </c>
      <c r="K110" s="28" t="s">
        <v>2555</v>
      </c>
      <c r="L110" s="28" t="s">
        <v>2556</v>
      </c>
      <c r="M110" s="28" t="s">
        <v>121</v>
      </c>
      <c r="N110" s="28" t="s">
        <v>201</v>
      </c>
      <c r="O110" s="28"/>
      <c r="P110" s="28" t="s">
        <v>101</v>
      </c>
      <c r="Q110" s="28"/>
      <c r="R110" s="28"/>
    </row>
    <row r="111" customFormat="false" ht="15" hidden="false" customHeight="false" outlineLevel="0" collapsed="false">
      <c r="A111" s="28" t="s">
        <v>2557</v>
      </c>
      <c r="B111" s="28" t="s">
        <v>2209</v>
      </c>
      <c r="C111" s="28" t="s">
        <v>2210</v>
      </c>
      <c r="D111" s="28" t="s">
        <v>102</v>
      </c>
      <c r="E111" s="28"/>
      <c r="F111" s="28"/>
      <c r="G111" s="28" t="s">
        <v>675</v>
      </c>
      <c r="H111" s="28" t="s">
        <v>2558</v>
      </c>
      <c r="I111" s="28" t="s">
        <v>2251</v>
      </c>
      <c r="J111" s="28" t="s">
        <v>2559</v>
      </c>
      <c r="K111" s="28" t="s">
        <v>2560</v>
      </c>
      <c r="L111" s="28" t="s">
        <v>2561</v>
      </c>
      <c r="M111" s="28" t="s">
        <v>111</v>
      </c>
      <c r="N111" s="28" t="s">
        <v>201</v>
      </c>
      <c r="O111" s="28"/>
      <c r="P111" s="28" t="s">
        <v>101</v>
      </c>
      <c r="Q111" s="28"/>
      <c r="R111" s="28"/>
    </row>
    <row r="112" customFormat="false" ht="15" hidden="false" customHeight="false" outlineLevel="0" collapsed="false">
      <c r="A112" s="28" t="s">
        <v>2562</v>
      </c>
      <c r="B112" s="28" t="s">
        <v>2209</v>
      </c>
      <c r="C112" s="28" t="s">
        <v>2210</v>
      </c>
      <c r="D112" s="28" t="s">
        <v>102</v>
      </c>
      <c r="E112" s="28"/>
      <c r="F112" s="28"/>
      <c r="G112" s="28" t="s">
        <v>675</v>
      </c>
      <c r="H112" s="28" t="s">
        <v>2563</v>
      </c>
      <c r="I112" s="28" t="s">
        <v>2220</v>
      </c>
      <c r="J112" s="28" t="s">
        <v>2559</v>
      </c>
      <c r="K112" s="28" t="s">
        <v>2560</v>
      </c>
      <c r="L112" s="28" t="s">
        <v>2564</v>
      </c>
      <c r="M112" s="28" t="s">
        <v>121</v>
      </c>
      <c r="N112" s="28" t="s">
        <v>201</v>
      </c>
      <c r="O112" s="28"/>
      <c r="P112" s="28" t="s">
        <v>101</v>
      </c>
      <c r="Q112" s="28"/>
      <c r="R112" s="28"/>
    </row>
    <row r="113" customFormat="false" ht="15" hidden="false" customHeight="false" outlineLevel="0" collapsed="false">
      <c r="A113" s="28" t="s">
        <v>2565</v>
      </c>
      <c r="B113" s="28" t="s">
        <v>2209</v>
      </c>
      <c r="C113" s="28" t="s">
        <v>2210</v>
      </c>
      <c r="D113" s="28" t="s">
        <v>102</v>
      </c>
      <c r="E113" s="28"/>
      <c r="F113" s="28"/>
      <c r="G113" s="28" t="s">
        <v>675</v>
      </c>
      <c r="H113" s="28" t="s">
        <v>2563</v>
      </c>
      <c r="I113" s="28" t="s">
        <v>2220</v>
      </c>
      <c r="J113" s="28" t="s">
        <v>2559</v>
      </c>
      <c r="K113" s="28" t="s">
        <v>2560</v>
      </c>
      <c r="L113" s="28" t="s">
        <v>2566</v>
      </c>
      <c r="M113" s="28" t="s">
        <v>121</v>
      </c>
      <c r="N113" s="28" t="s">
        <v>201</v>
      </c>
      <c r="O113" s="28"/>
      <c r="P113" s="28" t="s">
        <v>101</v>
      </c>
      <c r="Q113" s="28"/>
      <c r="R113" s="28"/>
    </row>
    <row r="114" customFormat="false" ht="15" hidden="false" customHeight="false" outlineLevel="0" collapsed="false">
      <c r="A114" s="28" t="s">
        <v>2567</v>
      </c>
      <c r="B114" s="28" t="s">
        <v>2209</v>
      </c>
      <c r="C114" s="28" t="s">
        <v>2210</v>
      </c>
      <c r="D114" s="28" t="s">
        <v>102</v>
      </c>
      <c r="E114" s="28"/>
      <c r="F114" s="28"/>
      <c r="G114" s="28" t="s">
        <v>675</v>
      </c>
      <c r="H114" s="28" t="s">
        <v>741</v>
      </c>
      <c r="I114" s="28" t="s">
        <v>2251</v>
      </c>
      <c r="J114" s="28" t="s">
        <v>2568</v>
      </c>
      <c r="K114" s="28" t="s">
        <v>2569</v>
      </c>
      <c r="L114" s="28" t="s">
        <v>2570</v>
      </c>
      <c r="M114" s="28" t="s">
        <v>111</v>
      </c>
      <c r="N114" s="28" t="s">
        <v>201</v>
      </c>
      <c r="O114" s="28"/>
      <c r="P114" s="28" t="s">
        <v>101</v>
      </c>
      <c r="Q114" s="28"/>
      <c r="R114" s="28"/>
    </row>
    <row r="115" customFormat="false" ht="15" hidden="false" customHeight="false" outlineLevel="0" collapsed="false">
      <c r="A115" s="28" t="s">
        <v>2571</v>
      </c>
      <c r="B115" s="28" t="s">
        <v>2209</v>
      </c>
      <c r="C115" s="28" t="s">
        <v>2210</v>
      </c>
      <c r="D115" s="28" t="s">
        <v>102</v>
      </c>
      <c r="E115" s="28"/>
      <c r="F115" s="28"/>
      <c r="G115" s="28" t="s">
        <v>675</v>
      </c>
      <c r="H115" s="28" t="s">
        <v>741</v>
      </c>
      <c r="I115" s="28" t="s">
        <v>2220</v>
      </c>
      <c r="J115" s="28" t="s">
        <v>2568</v>
      </c>
      <c r="K115" s="28" t="s">
        <v>2569</v>
      </c>
      <c r="L115" s="28" t="s">
        <v>2572</v>
      </c>
      <c r="M115" s="28" t="s">
        <v>121</v>
      </c>
      <c r="N115" s="28" t="s">
        <v>201</v>
      </c>
      <c r="O115" s="28"/>
      <c r="P115" s="28" t="s">
        <v>101</v>
      </c>
      <c r="Q115" s="28"/>
      <c r="R115" s="28"/>
    </row>
    <row r="116" customFormat="false" ht="15" hidden="false" customHeight="false" outlineLevel="0" collapsed="false">
      <c r="A116" s="28" t="s">
        <v>2573</v>
      </c>
      <c r="B116" s="28" t="s">
        <v>2209</v>
      </c>
      <c r="C116" s="28" t="s">
        <v>2210</v>
      </c>
      <c r="D116" s="28" t="s">
        <v>102</v>
      </c>
      <c r="E116" s="28"/>
      <c r="F116" s="28"/>
      <c r="G116" s="28" t="s">
        <v>675</v>
      </c>
      <c r="H116" s="28" t="s">
        <v>673</v>
      </c>
      <c r="I116" s="28" t="s">
        <v>2251</v>
      </c>
      <c r="J116" s="28" t="s">
        <v>2574</v>
      </c>
      <c r="K116" s="28" t="s">
        <v>2575</v>
      </c>
      <c r="L116" s="28" t="s">
        <v>2576</v>
      </c>
      <c r="M116" s="28" t="s">
        <v>111</v>
      </c>
      <c r="N116" s="28" t="s">
        <v>201</v>
      </c>
      <c r="O116" s="28"/>
      <c r="P116" s="28" t="s">
        <v>101</v>
      </c>
      <c r="Q116" s="28"/>
      <c r="R116" s="28"/>
    </row>
    <row r="117" customFormat="false" ht="15" hidden="false" customHeight="false" outlineLevel="0" collapsed="false">
      <c r="A117" s="28" t="s">
        <v>2577</v>
      </c>
      <c r="B117" s="28" t="s">
        <v>2209</v>
      </c>
      <c r="C117" s="28" t="s">
        <v>2210</v>
      </c>
      <c r="D117" s="28" t="s">
        <v>102</v>
      </c>
      <c r="E117" s="28"/>
      <c r="F117" s="28"/>
      <c r="G117" s="28" t="s">
        <v>675</v>
      </c>
      <c r="H117" s="28" t="s">
        <v>734</v>
      </c>
      <c r="I117" s="28" t="s">
        <v>2251</v>
      </c>
      <c r="J117" s="28" t="s">
        <v>2568</v>
      </c>
      <c r="K117" s="28" t="s">
        <v>2578</v>
      </c>
      <c r="L117" s="28" t="s">
        <v>2579</v>
      </c>
      <c r="M117" s="28" t="s">
        <v>111</v>
      </c>
      <c r="N117" s="28" t="s">
        <v>201</v>
      </c>
      <c r="O117" s="28"/>
      <c r="P117" s="28" t="s">
        <v>101</v>
      </c>
      <c r="Q117" s="28"/>
      <c r="R117" s="28"/>
    </row>
    <row r="118" customFormat="false" ht="15" hidden="false" customHeight="false" outlineLevel="0" collapsed="false">
      <c r="A118" s="28" t="s">
        <v>2580</v>
      </c>
      <c r="B118" s="28" t="s">
        <v>2209</v>
      </c>
      <c r="C118" s="28" t="s">
        <v>2210</v>
      </c>
      <c r="D118" s="28" t="s">
        <v>102</v>
      </c>
      <c r="E118" s="28"/>
      <c r="F118" s="28"/>
      <c r="G118" s="28" t="s">
        <v>675</v>
      </c>
      <c r="H118" s="28" t="s">
        <v>734</v>
      </c>
      <c r="I118" s="28" t="s">
        <v>2217</v>
      </c>
      <c r="J118" s="28" t="s">
        <v>2568</v>
      </c>
      <c r="K118" s="28" t="s">
        <v>2578</v>
      </c>
      <c r="L118" s="28" t="s">
        <v>2581</v>
      </c>
      <c r="M118" s="28" t="s">
        <v>99</v>
      </c>
      <c r="N118" s="28" t="s">
        <v>201</v>
      </c>
      <c r="O118" s="28"/>
      <c r="P118" s="28" t="s">
        <v>101</v>
      </c>
      <c r="Q118" s="28"/>
      <c r="R118" s="28"/>
    </row>
    <row r="119" customFormat="false" ht="15" hidden="false" customHeight="false" outlineLevel="0" collapsed="false">
      <c r="A119" s="28" t="s">
        <v>2582</v>
      </c>
      <c r="B119" s="28" t="s">
        <v>2209</v>
      </c>
      <c r="C119" s="28" t="s">
        <v>2210</v>
      </c>
      <c r="D119" s="28"/>
      <c r="E119" s="28"/>
      <c r="F119" s="28"/>
      <c r="G119" s="28" t="s">
        <v>673</v>
      </c>
      <c r="H119" s="28" t="s">
        <v>675</v>
      </c>
      <c r="I119" s="28" t="s">
        <v>2220</v>
      </c>
      <c r="J119" s="39" t="s">
        <v>2583</v>
      </c>
      <c r="K119" s="28" t="s">
        <v>2584</v>
      </c>
      <c r="L119" s="28" t="s">
        <v>2585</v>
      </c>
      <c r="M119" s="28" t="s">
        <v>121</v>
      </c>
      <c r="N119" s="28" t="s">
        <v>201</v>
      </c>
      <c r="O119" s="28"/>
      <c r="P119" s="28" t="s">
        <v>101</v>
      </c>
      <c r="Q119" s="28"/>
      <c r="R119" s="28"/>
    </row>
    <row r="120" customFormat="false" ht="15" hidden="false" customHeight="false" outlineLevel="0" collapsed="false">
      <c r="A120" s="28" t="s">
        <v>2586</v>
      </c>
      <c r="B120" s="28" t="s">
        <v>2209</v>
      </c>
      <c r="C120" s="28" t="s">
        <v>2210</v>
      </c>
      <c r="D120" s="28"/>
      <c r="E120" s="28"/>
      <c r="F120" s="28"/>
      <c r="G120" s="28" t="s">
        <v>673</v>
      </c>
      <c r="H120" s="28" t="s">
        <v>2258</v>
      </c>
      <c r="I120" s="28" t="s">
        <v>2217</v>
      </c>
      <c r="J120" s="39" t="s">
        <v>2587</v>
      </c>
      <c r="K120" s="28" t="s">
        <v>2588</v>
      </c>
      <c r="L120" s="28" t="s">
        <v>2589</v>
      </c>
      <c r="M120" s="28" t="s">
        <v>99</v>
      </c>
      <c r="N120" s="28" t="s">
        <v>201</v>
      </c>
      <c r="O120" s="28"/>
      <c r="P120" s="28" t="s">
        <v>101</v>
      </c>
      <c r="Q120" s="28"/>
      <c r="R120" s="28"/>
    </row>
    <row r="121" customFormat="false" ht="15" hidden="false" customHeight="false" outlineLevel="0" collapsed="false">
      <c r="A121" s="28" t="s">
        <v>2590</v>
      </c>
      <c r="B121" s="28" t="s">
        <v>2209</v>
      </c>
      <c r="C121" s="28" t="s">
        <v>2210</v>
      </c>
      <c r="D121" s="28"/>
      <c r="E121" s="28"/>
      <c r="F121" s="28"/>
      <c r="G121" s="28" t="s">
        <v>673</v>
      </c>
      <c r="H121" s="28" t="s">
        <v>677</v>
      </c>
      <c r="I121" s="28" t="s">
        <v>2211</v>
      </c>
      <c r="J121" s="39" t="s">
        <v>2591</v>
      </c>
      <c r="K121" s="28" t="s">
        <v>2592</v>
      </c>
      <c r="L121" s="28" t="s">
        <v>2593</v>
      </c>
      <c r="M121" s="28" t="s">
        <v>111</v>
      </c>
      <c r="N121" s="28" t="s">
        <v>201</v>
      </c>
      <c r="O121" s="28"/>
      <c r="P121" s="28" t="s">
        <v>101</v>
      </c>
      <c r="Q121" s="28"/>
      <c r="R121" s="28"/>
    </row>
    <row r="122" customFormat="false" ht="15" hidden="false" customHeight="false" outlineLevel="0" collapsed="false">
      <c r="A122" s="28" t="s">
        <v>2594</v>
      </c>
      <c r="B122" s="28" t="s">
        <v>2209</v>
      </c>
      <c r="C122" s="28" t="s">
        <v>2210</v>
      </c>
      <c r="D122" s="28" t="s">
        <v>102</v>
      </c>
      <c r="E122" s="28"/>
      <c r="F122" s="28"/>
      <c r="G122" s="28" t="s">
        <v>675</v>
      </c>
      <c r="H122" s="28" t="s">
        <v>2595</v>
      </c>
      <c r="I122" s="28" t="s">
        <v>2220</v>
      </c>
      <c r="J122" s="28" t="s">
        <v>2596</v>
      </c>
      <c r="K122" s="28" t="s">
        <v>2597</v>
      </c>
      <c r="L122" s="28" t="s">
        <v>2598</v>
      </c>
      <c r="M122" s="28" t="s">
        <v>121</v>
      </c>
      <c r="N122" s="28" t="s">
        <v>201</v>
      </c>
      <c r="O122" s="28"/>
      <c r="P122" s="28" t="s">
        <v>101</v>
      </c>
      <c r="Q122" s="28"/>
      <c r="R122" s="28"/>
    </row>
    <row r="123" customFormat="false" ht="15" hidden="false" customHeight="false" outlineLevel="0" collapsed="false">
      <c r="A123" s="28" t="s">
        <v>2599</v>
      </c>
      <c r="B123" s="28" t="s">
        <v>2209</v>
      </c>
      <c r="C123" s="28" t="s">
        <v>2210</v>
      </c>
      <c r="D123" s="28" t="s">
        <v>102</v>
      </c>
      <c r="E123" s="28"/>
      <c r="F123" s="28"/>
      <c r="G123" s="28" t="s">
        <v>675</v>
      </c>
      <c r="H123" s="28" t="s">
        <v>2600</v>
      </c>
      <c r="I123" s="28" t="s">
        <v>2251</v>
      </c>
      <c r="J123" s="28" t="s">
        <v>2601</v>
      </c>
      <c r="K123" s="28" t="s">
        <v>2602</v>
      </c>
      <c r="L123" s="28" t="s">
        <v>2603</v>
      </c>
      <c r="M123" s="28" t="s">
        <v>111</v>
      </c>
      <c r="N123" s="28" t="s">
        <v>201</v>
      </c>
      <c r="O123" s="28"/>
      <c r="P123" s="28" t="s">
        <v>101</v>
      </c>
      <c r="Q123" s="28"/>
      <c r="R123" s="28"/>
    </row>
    <row r="124" customFormat="false" ht="15" hidden="false" customHeight="false" outlineLevel="0" collapsed="false">
      <c r="A124" s="28" t="s">
        <v>2604</v>
      </c>
      <c r="B124" s="28" t="s">
        <v>2209</v>
      </c>
      <c r="C124" s="28" t="s">
        <v>2210</v>
      </c>
      <c r="D124" s="28" t="s">
        <v>102</v>
      </c>
      <c r="E124" s="28"/>
      <c r="F124" s="28"/>
      <c r="G124" s="28" t="s">
        <v>675</v>
      </c>
      <c r="H124" s="28" t="s">
        <v>683</v>
      </c>
      <c r="I124" s="28" t="s">
        <v>2220</v>
      </c>
      <c r="J124" s="28" t="s">
        <v>2605</v>
      </c>
      <c r="K124" s="28" t="s">
        <v>2606</v>
      </c>
      <c r="L124" s="28" t="s">
        <v>2607</v>
      </c>
      <c r="M124" s="28" t="s">
        <v>121</v>
      </c>
      <c r="N124" s="28" t="s">
        <v>201</v>
      </c>
      <c r="O124" s="28"/>
      <c r="P124" s="28" t="s">
        <v>101</v>
      </c>
      <c r="Q124" s="28"/>
      <c r="R124" s="28"/>
    </row>
    <row r="125" customFormat="false" ht="15" hidden="false" customHeight="false" outlineLevel="0" collapsed="false">
      <c r="A125" s="28" t="s">
        <v>2608</v>
      </c>
      <c r="B125" s="28" t="s">
        <v>2209</v>
      </c>
      <c r="C125" s="28" t="s">
        <v>2210</v>
      </c>
      <c r="D125" s="28" t="s">
        <v>102</v>
      </c>
      <c r="E125" s="28"/>
      <c r="F125" s="28"/>
      <c r="G125" s="28" t="s">
        <v>675</v>
      </c>
      <c r="H125" s="28" t="s">
        <v>683</v>
      </c>
      <c r="I125" s="28" t="s">
        <v>2220</v>
      </c>
      <c r="J125" s="28" t="s">
        <v>2605</v>
      </c>
      <c r="K125" s="28" t="s">
        <v>2606</v>
      </c>
      <c r="L125" s="28" t="s">
        <v>2609</v>
      </c>
      <c r="M125" s="28" t="s">
        <v>121</v>
      </c>
      <c r="N125" s="28" t="s">
        <v>201</v>
      </c>
      <c r="O125" s="28"/>
      <c r="P125" s="28" t="s">
        <v>101</v>
      </c>
      <c r="Q125" s="28"/>
      <c r="R125" s="28"/>
    </row>
    <row r="126" customFormat="false" ht="15" hidden="false" customHeight="false" outlineLevel="0" collapsed="false">
      <c r="A126" s="28" t="s">
        <v>2610</v>
      </c>
      <c r="B126" s="28" t="s">
        <v>2209</v>
      </c>
      <c r="C126" s="28" t="s">
        <v>2210</v>
      </c>
      <c r="D126" s="28" t="s">
        <v>102</v>
      </c>
      <c r="E126" s="28"/>
      <c r="F126" s="28"/>
      <c r="G126" s="28" t="s">
        <v>675</v>
      </c>
      <c r="H126" s="28" t="s">
        <v>2611</v>
      </c>
      <c r="I126" s="28" t="s">
        <v>2220</v>
      </c>
      <c r="J126" s="28" t="s">
        <v>2612</v>
      </c>
      <c r="K126" s="28" t="s">
        <v>2613</v>
      </c>
      <c r="L126" s="28" t="s">
        <v>2614</v>
      </c>
      <c r="M126" s="28" t="s">
        <v>121</v>
      </c>
      <c r="N126" s="28" t="s">
        <v>201</v>
      </c>
      <c r="O126" s="28"/>
      <c r="P126" s="28" t="s">
        <v>101</v>
      </c>
      <c r="Q126" s="28"/>
      <c r="R126" s="28"/>
    </row>
    <row r="127" customFormat="false" ht="15" hidden="false" customHeight="false" outlineLevel="0" collapsed="false">
      <c r="A127" s="28" t="s">
        <v>2615</v>
      </c>
      <c r="B127" s="28" t="s">
        <v>2209</v>
      </c>
      <c r="C127" s="28" t="s">
        <v>2210</v>
      </c>
      <c r="D127" s="28" t="s">
        <v>102</v>
      </c>
      <c r="E127" s="28"/>
      <c r="F127" s="28"/>
      <c r="G127" s="28" t="s">
        <v>675</v>
      </c>
      <c r="H127" s="28" t="s">
        <v>2616</v>
      </c>
      <c r="I127" s="28" t="s">
        <v>2220</v>
      </c>
      <c r="J127" s="28" t="s">
        <v>2617</v>
      </c>
      <c r="K127" s="28" t="s">
        <v>2618</v>
      </c>
      <c r="L127" s="28" t="s">
        <v>2619</v>
      </c>
      <c r="M127" s="28" t="s">
        <v>121</v>
      </c>
      <c r="N127" s="28" t="s">
        <v>201</v>
      </c>
      <c r="O127" s="28"/>
      <c r="P127" s="28" t="s">
        <v>101</v>
      </c>
      <c r="Q127" s="28"/>
      <c r="R127" s="28"/>
    </row>
    <row r="128" customFormat="false" ht="15" hidden="false" customHeight="false" outlineLevel="0" collapsed="false">
      <c r="A128" s="28" t="s">
        <v>2620</v>
      </c>
      <c r="B128" s="28" t="s">
        <v>2209</v>
      </c>
      <c r="C128" s="28" t="s">
        <v>2210</v>
      </c>
      <c r="D128" s="28" t="s">
        <v>102</v>
      </c>
      <c r="E128" s="28"/>
      <c r="F128" s="28"/>
      <c r="G128" s="28" t="s">
        <v>675</v>
      </c>
      <c r="H128" s="28" t="s">
        <v>788</v>
      </c>
      <c r="I128" s="28" t="s">
        <v>2220</v>
      </c>
      <c r="J128" s="28" t="s">
        <v>2621</v>
      </c>
      <c r="K128" s="28" t="s">
        <v>2622</v>
      </c>
      <c r="L128" s="28" t="s">
        <v>2623</v>
      </c>
      <c r="M128" s="28" t="s">
        <v>121</v>
      </c>
      <c r="N128" s="28" t="s">
        <v>201</v>
      </c>
      <c r="O128" s="28"/>
      <c r="P128" s="28" t="s">
        <v>101</v>
      </c>
      <c r="Q128" s="28"/>
      <c r="R128" s="28"/>
    </row>
    <row r="129" customFormat="false" ht="15" hidden="false" customHeight="false" outlineLevel="0" collapsed="false">
      <c r="A129" s="28" t="s">
        <v>2624</v>
      </c>
      <c r="B129" s="28" t="s">
        <v>2209</v>
      </c>
      <c r="C129" s="28" t="s">
        <v>2210</v>
      </c>
      <c r="D129" s="28" t="s">
        <v>102</v>
      </c>
      <c r="E129" s="28"/>
      <c r="F129" s="28"/>
      <c r="G129" s="28" t="s">
        <v>675</v>
      </c>
      <c r="H129" s="28" t="s">
        <v>2625</v>
      </c>
      <c r="I129" s="28" t="s">
        <v>2220</v>
      </c>
      <c r="J129" s="28" t="s">
        <v>2626</v>
      </c>
      <c r="K129" s="28" t="s">
        <v>2627</v>
      </c>
      <c r="L129" s="39" t="s">
        <v>2628</v>
      </c>
      <c r="M129" s="28" t="s">
        <v>121</v>
      </c>
      <c r="N129" s="28" t="s">
        <v>201</v>
      </c>
      <c r="O129" s="28"/>
      <c r="P129" s="28" t="s">
        <v>101</v>
      </c>
      <c r="Q129" s="28"/>
      <c r="R129" s="28"/>
    </row>
    <row r="130" customFormat="false" ht="15" hidden="false" customHeight="false" outlineLevel="0" collapsed="false">
      <c r="A130" s="28" t="s">
        <v>2629</v>
      </c>
      <c r="B130" s="28" t="s">
        <v>2209</v>
      </c>
      <c r="C130" s="28" t="s">
        <v>2210</v>
      </c>
      <c r="D130" s="28" t="s">
        <v>102</v>
      </c>
      <c r="E130" s="28"/>
      <c r="F130" s="28"/>
      <c r="G130" s="28" t="s">
        <v>675</v>
      </c>
      <c r="H130" s="28" t="s">
        <v>2630</v>
      </c>
      <c r="I130" s="28" t="s">
        <v>2220</v>
      </c>
      <c r="J130" s="28" t="s">
        <v>2631</v>
      </c>
      <c r="K130" s="28" t="s">
        <v>2632</v>
      </c>
      <c r="L130" s="28" t="s">
        <v>2633</v>
      </c>
      <c r="M130" s="28" t="s">
        <v>121</v>
      </c>
      <c r="N130" s="28" t="s">
        <v>201</v>
      </c>
      <c r="O130" s="28"/>
      <c r="P130" s="28" t="s">
        <v>101</v>
      </c>
      <c r="Q130" s="28"/>
      <c r="R130" s="28"/>
    </row>
    <row r="131" customFormat="false" ht="15" hidden="false" customHeight="false" outlineLevel="0" collapsed="false">
      <c r="A131" s="28" t="s">
        <v>2634</v>
      </c>
      <c r="B131" s="28" t="s">
        <v>2209</v>
      </c>
      <c r="C131" s="28" t="s">
        <v>2210</v>
      </c>
      <c r="D131" s="28" t="s">
        <v>102</v>
      </c>
      <c r="E131" s="28"/>
      <c r="F131" s="28"/>
      <c r="G131" s="28" t="s">
        <v>675</v>
      </c>
      <c r="H131" s="28" t="s">
        <v>2635</v>
      </c>
      <c r="I131" s="28" t="s">
        <v>2251</v>
      </c>
      <c r="J131" s="28" t="s">
        <v>2636</v>
      </c>
      <c r="K131" s="28" t="s">
        <v>2637</v>
      </c>
      <c r="L131" s="28" t="s">
        <v>2638</v>
      </c>
      <c r="M131" s="28" t="s">
        <v>111</v>
      </c>
      <c r="N131" s="28" t="s">
        <v>201</v>
      </c>
      <c r="O131" s="28"/>
      <c r="P131" s="28" t="s">
        <v>101</v>
      </c>
      <c r="Q131" s="28"/>
      <c r="R131" s="28"/>
    </row>
    <row r="132" customFormat="false" ht="15" hidden="false" customHeight="false" outlineLevel="0" collapsed="false">
      <c r="A132" s="28" t="s">
        <v>2639</v>
      </c>
      <c r="B132" s="28" t="s">
        <v>2209</v>
      </c>
      <c r="C132" s="28" t="s">
        <v>2210</v>
      </c>
      <c r="D132" s="28" t="s">
        <v>102</v>
      </c>
      <c r="E132" s="28"/>
      <c r="F132" s="28"/>
      <c r="G132" s="28" t="s">
        <v>675</v>
      </c>
      <c r="H132" s="28" t="s">
        <v>2640</v>
      </c>
      <c r="I132" s="28" t="s">
        <v>2220</v>
      </c>
      <c r="J132" s="28" t="s">
        <v>2636</v>
      </c>
      <c r="K132" s="28" t="s">
        <v>2637</v>
      </c>
      <c r="L132" s="28" t="s">
        <v>2641</v>
      </c>
      <c r="M132" s="28" t="s">
        <v>121</v>
      </c>
      <c r="N132" s="28" t="s">
        <v>201</v>
      </c>
      <c r="O132" s="28"/>
      <c r="P132" s="28" t="s">
        <v>101</v>
      </c>
      <c r="Q132" s="28"/>
      <c r="R132" s="28"/>
    </row>
    <row r="133" customFormat="false" ht="15" hidden="false" customHeight="false" outlineLevel="0" collapsed="false">
      <c r="A133" s="28" t="s">
        <v>2642</v>
      </c>
      <c r="B133" s="28" t="s">
        <v>2209</v>
      </c>
      <c r="C133" s="28" t="s">
        <v>2210</v>
      </c>
      <c r="D133" s="28" t="s">
        <v>102</v>
      </c>
      <c r="E133" s="28"/>
      <c r="F133" s="28"/>
      <c r="G133" s="28" t="s">
        <v>675</v>
      </c>
      <c r="H133" s="28" t="s">
        <v>2635</v>
      </c>
      <c r="I133" s="28" t="s">
        <v>2220</v>
      </c>
      <c r="J133" s="28" t="s">
        <v>2636</v>
      </c>
      <c r="K133" s="28" t="s">
        <v>2637</v>
      </c>
      <c r="L133" s="28" t="s">
        <v>2643</v>
      </c>
      <c r="M133" s="28" t="s">
        <v>121</v>
      </c>
      <c r="N133" s="28" t="s">
        <v>201</v>
      </c>
      <c r="O133" s="28"/>
      <c r="P133" s="28" t="s">
        <v>101</v>
      </c>
      <c r="Q133" s="28"/>
      <c r="R133" s="28"/>
    </row>
    <row r="134" customFormat="false" ht="15" hidden="false" customHeight="false" outlineLevel="0" collapsed="false">
      <c r="A134" s="28" t="s">
        <v>2644</v>
      </c>
      <c r="B134" s="28" t="s">
        <v>2209</v>
      </c>
      <c r="C134" s="28" t="s">
        <v>2210</v>
      </c>
      <c r="D134" s="28" t="s">
        <v>102</v>
      </c>
      <c r="E134" s="28"/>
      <c r="F134" s="28"/>
      <c r="G134" s="28" t="s">
        <v>675</v>
      </c>
      <c r="H134" s="28" t="s">
        <v>2645</v>
      </c>
      <c r="I134" s="28" t="s">
        <v>2220</v>
      </c>
      <c r="J134" s="28" t="s">
        <v>2646</v>
      </c>
      <c r="K134" s="28" t="s">
        <v>2647</v>
      </c>
      <c r="L134" s="28" t="s">
        <v>2648</v>
      </c>
      <c r="M134" s="28" t="s">
        <v>121</v>
      </c>
      <c r="N134" s="28" t="s">
        <v>201</v>
      </c>
      <c r="O134" s="28"/>
      <c r="P134" s="28" t="s">
        <v>101</v>
      </c>
      <c r="Q134" s="28"/>
      <c r="R134" s="28"/>
    </row>
    <row r="135" customFormat="false" ht="15" hidden="false" customHeight="false" outlineLevel="0" collapsed="false">
      <c r="A135" s="28" t="s">
        <v>2649</v>
      </c>
      <c r="B135" s="28" t="s">
        <v>2209</v>
      </c>
      <c r="C135" s="28" t="s">
        <v>2210</v>
      </c>
      <c r="D135" s="28"/>
      <c r="E135" s="28"/>
      <c r="F135" s="28"/>
      <c r="G135" s="28" t="s">
        <v>728</v>
      </c>
      <c r="H135" s="28" t="s">
        <v>2650</v>
      </c>
      <c r="I135" s="28" t="s">
        <v>2211</v>
      </c>
      <c r="J135" s="39" t="s">
        <v>2651</v>
      </c>
      <c r="K135" s="28" t="s">
        <v>2652</v>
      </c>
      <c r="L135" s="28" t="s">
        <v>2653</v>
      </c>
      <c r="M135" s="28" t="s">
        <v>111</v>
      </c>
      <c r="N135" s="28" t="s">
        <v>201</v>
      </c>
      <c r="O135" s="28"/>
      <c r="P135" s="28" t="s">
        <v>101</v>
      </c>
      <c r="Q135" s="28"/>
      <c r="R135" s="28"/>
    </row>
    <row r="136" customFormat="false" ht="15" hidden="false" customHeight="false" outlineLevel="0" collapsed="false">
      <c r="A136" s="28" t="s">
        <v>2654</v>
      </c>
      <c r="B136" s="28" t="s">
        <v>2209</v>
      </c>
      <c r="C136" s="28" t="s">
        <v>2210</v>
      </c>
      <c r="D136" s="28"/>
      <c r="E136" s="28"/>
      <c r="F136" s="28"/>
      <c r="G136" s="28" t="s">
        <v>728</v>
      </c>
      <c r="H136" s="28" t="s">
        <v>2655</v>
      </c>
      <c r="I136" s="28" t="s">
        <v>2211</v>
      </c>
      <c r="J136" s="39" t="s">
        <v>2656</v>
      </c>
      <c r="K136" s="28" t="s">
        <v>2657</v>
      </c>
      <c r="L136" s="28" t="s">
        <v>2658</v>
      </c>
      <c r="M136" s="28" t="s">
        <v>111</v>
      </c>
      <c r="N136" s="28" t="s">
        <v>201</v>
      </c>
      <c r="O136" s="28"/>
      <c r="P136" s="28" t="s">
        <v>101</v>
      </c>
      <c r="Q136" s="28"/>
      <c r="R136" s="28"/>
    </row>
    <row r="137" customFormat="false" ht="15" hidden="false" customHeight="false" outlineLevel="0" collapsed="false">
      <c r="A137" s="28" t="s">
        <v>2659</v>
      </c>
      <c r="B137" s="28" t="s">
        <v>2209</v>
      </c>
      <c r="C137" s="28" t="s">
        <v>2210</v>
      </c>
      <c r="D137" s="28"/>
      <c r="E137" s="28"/>
      <c r="F137" s="28"/>
      <c r="G137" s="28" t="s">
        <v>731</v>
      </c>
      <c r="H137" s="28" t="s">
        <v>669</v>
      </c>
      <c r="I137" s="28" t="s">
        <v>2211</v>
      </c>
      <c r="J137" s="39" t="s">
        <v>2660</v>
      </c>
      <c r="K137" s="28" t="s">
        <v>2661</v>
      </c>
      <c r="L137" s="28" t="s">
        <v>2662</v>
      </c>
      <c r="M137" s="28" t="s">
        <v>111</v>
      </c>
      <c r="N137" s="28" t="s">
        <v>201</v>
      </c>
      <c r="O137" s="28"/>
      <c r="P137" s="28" t="s">
        <v>101</v>
      </c>
      <c r="Q137" s="28"/>
      <c r="R137" s="28"/>
    </row>
    <row r="138" customFormat="false" ht="15" hidden="false" customHeight="false" outlineLevel="0" collapsed="false">
      <c r="A138" s="28" t="s">
        <v>2663</v>
      </c>
      <c r="B138" s="28" t="s">
        <v>2209</v>
      </c>
      <c r="C138" s="28" t="s">
        <v>2210</v>
      </c>
      <c r="D138" s="28"/>
      <c r="E138" s="28"/>
      <c r="F138" s="28"/>
      <c r="G138" s="28" t="s">
        <v>731</v>
      </c>
      <c r="H138" s="28" t="s">
        <v>669</v>
      </c>
      <c r="I138" s="28" t="s">
        <v>2220</v>
      </c>
      <c r="J138" s="39" t="s">
        <v>2660</v>
      </c>
      <c r="K138" s="28" t="s">
        <v>2661</v>
      </c>
      <c r="L138" s="28" t="s">
        <v>2664</v>
      </c>
      <c r="M138" s="28" t="s">
        <v>121</v>
      </c>
      <c r="N138" s="28" t="s">
        <v>201</v>
      </c>
      <c r="O138" s="28"/>
      <c r="P138" s="28" t="s">
        <v>101</v>
      </c>
      <c r="Q138" s="28"/>
      <c r="R138" s="28"/>
    </row>
    <row r="139" customFormat="false" ht="15" hidden="false" customHeight="false" outlineLevel="0" collapsed="false">
      <c r="A139" s="28" t="s">
        <v>2665</v>
      </c>
      <c r="B139" s="28" t="s">
        <v>2209</v>
      </c>
      <c r="C139" s="28" t="s">
        <v>2210</v>
      </c>
      <c r="D139" s="28"/>
      <c r="E139" s="28"/>
      <c r="F139" s="28"/>
      <c r="G139" s="28" t="s">
        <v>731</v>
      </c>
      <c r="H139" s="28" t="s">
        <v>669</v>
      </c>
      <c r="I139" s="28" t="s">
        <v>2220</v>
      </c>
      <c r="J139" s="39" t="s">
        <v>2660</v>
      </c>
      <c r="K139" s="28" t="s">
        <v>2661</v>
      </c>
      <c r="L139" s="28" t="s">
        <v>2666</v>
      </c>
      <c r="M139" s="28" t="s">
        <v>121</v>
      </c>
      <c r="N139" s="28" t="s">
        <v>201</v>
      </c>
      <c r="O139" s="28"/>
      <c r="P139" s="28" t="s">
        <v>101</v>
      </c>
      <c r="Q139" s="28"/>
      <c r="R139" s="28"/>
    </row>
    <row r="140" customFormat="false" ht="15" hidden="false" customHeight="false" outlineLevel="0" collapsed="false">
      <c r="A140" s="28" t="s">
        <v>2667</v>
      </c>
      <c r="B140" s="28" t="s">
        <v>2209</v>
      </c>
      <c r="C140" s="28" t="s">
        <v>2210</v>
      </c>
      <c r="D140" s="28"/>
      <c r="E140" s="28"/>
      <c r="F140" s="28"/>
      <c r="G140" s="28" t="s">
        <v>731</v>
      </c>
      <c r="H140" s="28" t="s">
        <v>669</v>
      </c>
      <c r="I140" s="28" t="s">
        <v>2220</v>
      </c>
      <c r="J140" s="39" t="s">
        <v>2660</v>
      </c>
      <c r="K140" s="28" t="s">
        <v>2661</v>
      </c>
      <c r="L140" s="28" t="s">
        <v>2668</v>
      </c>
      <c r="M140" s="28" t="s">
        <v>121</v>
      </c>
      <c r="N140" s="28" t="s">
        <v>201</v>
      </c>
      <c r="O140" s="28"/>
      <c r="P140" s="28" t="s">
        <v>101</v>
      </c>
      <c r="Q140" s="28"/>
      <c r="R140" s="28"/>
    </row>
    <row r="141" customFormat="false" ht="15" hidden="false" customHeight="false" outlineLevel="0" collapsed="false">
      <c r="A141" s="28" t="s">
        <v>2669</v>
      </c>
      <c r="B141" s="28" t="s">
        <v>2209</v>
      </c>
      <c r="C141" s="28" t="s">
        <v>2210</v>
      </c>
      <c r="D141" s="28"/>
      <c r="E141" s="28"/>
      <c r="F141" s="28"/>
      <c r="G141" s="28" t="s">
        <v>731</v>
      </c>
      <c r="H141" s="28" t="s">
        <v>669</v>
      </c>
      <c r="I141" s="28" t="s">
        <v>2220</v>
      </c>
      <c r="J141" s="39" t="s">
        <v>2660</v>
      </c>
      <c r="K141" s="28" t="s">
        <v>2661</v>
      </c>
      <c r="L141" s="28" t="s">
        <v>2670</v>
      </c>
      <c r="M141" s="28" t="s">
        <v>121</v>
      </c>
      <c r="N141" s="28" t="s">
        <v>201</v>
      </c>
      <c r="O141" s="28"/>
      <c r="P141" s="28" t="s">
        <v>101</v>
      </c>
      <c r="Q141" s="28"/>
      <c r="R141" s="28"/>
    </row>
    <row r="142" customFormat="false" ht="15" hidden="false" customHeight="false" outlineLevel="0" collapsed="false">
      <c r="A142" s="28" t="s">
        <v>2671</v>
      </c>
      <c r="B142" s="28" t="s">
        <v>2209</v>
      </c>
      <c r="C142" s="28" t="s">
        <v>2210</v>
      </c>
      <c r="D142" s="28"/>
      <c r="E142" s="28"/>
      <c r="F142" s="28"/>
      <c r="G142" s="28" t="s">
        <v>731</v>
      </c>
      <c r="H142" s="28" t="s">
        <v>669</v>
      </c>
      <c r="I142" s="28" t="s">
        <v>2220</v>
      </c>
      <c r="J142" s="39" t="s">
        <v>2660</v>
      </c>
      <c r="K142" s="28" t="s">
        <v>2661</v>
      </c>
      <c r="L142" s="28" t="s">
        <v>2672</v>
      </c>
      <c r="M142" s="28" t="s">
        <v>121</v>
      </c>
      <c r="N142" s="28" t="s">
        <v>201</v>
      </c>
      <c r="O142" s="28"/>
      <c r="P142" s="28" t="s">
        <v>101</v>
      </c>
      <c r="Q142" s="28"/>
      <c r="R142" s="28"/>
    </row>
    <row r="143" customFormat="false" ht="15" hidden="false" customHeight="false" outlineLevel="0" collapsed="false">
      <c r="A143" s="28" t="s">
        <v>2673</v>
      </c>
      <c r="B143" s="28" t="s">
        <v>2209</v>
      </c>
      <c r="C143" s="28" t="s">
        <v>2210</v>
      </c>
      <c r="D143" s="28"/>
      <c r="E143" s="28"/>
      <c r="F143" s="28"/>
      <c r="G143" s="28" t="s">
        <v>731</v>
      </c>
      <c r="H143" s="28" t="s">
        <v>675</v>
      </c>
      <c r="I143" s="28" t="s">
        <v>2220</v>
      </c>
      <c r="J143" s="39" t="s">
        <v>2674</v>
      </c>
      <c r="K143" s="28" t="s">
        <v>2675</v>
      </c>
      <c r="L143" s="28" t="s">
        <v>2676</v>
      </c>
      <c r="M143" s="28" t="s">
        <v>121</v>
      </c>
      <c r="N143" s="28" t="s">
        <v>201</v>
      </c>
      <c r="O143" s="28"/>
      <c r="P143" s="28" t="s">
        <v>101</v>
      </c>
      <c r="Q143" s="28"/>
      <c r="R143" s="28"/>
    </row>
    <row r="144" customFormat="false" ht="15" hidden="false" customHeight="false" outlineLevel="0" collapsed="false">
      <c r="A144" s="28" t="s">
        <v>2677</v>
      </c>
      <c r="B144" s="28" t="s">
        <v>2209</v>
      </c>
      <c r="C144" s="28" t="s">
        <v>2210</v>
      </c>
      <c r="D144" s="28" t="s">
        <v>102</v>
      </c>
      <c r="E144" s="28"/>
      <c r="F144" s="28"/>
      <c r="G144" s="28" t="s">
        <v>675</v>
      </c>
      <c r="H144" s="28" t="s">
        <v>2678</v>
      </c>
      <c r="I144" s="28" t="s">
        <v>2251</v>
      </c>
      <c r="J144" s="28" t="s">
        <v>2679</v>
      </c>
      <c r="K144" s="28" t="s">
        <v>2680</v>
      </c>
      <c r="L144" s="28" t="s">
        <v>2681</v>
      </c>
      <c r="M144" s="28" t="s">
        <v>111</v>
      </c>
      <c r="N144" s="28" t="s">
        <v>201</v>
      </c>
      <c r="O144" s="28"/>
      <c r="P144" s="28" t="s">
        <v>101</v>
      </c>
      <c r="Q144" s="28"/>
      <c r="R144" s="28"/>
    </row>
    <row r="145" customFormat="false" ht="15" hidden="false" customHeight="false" outlineLevel="0" collapsed="false">
      <c r="A145" s="28" t="s">
        <v>2682</v>
      </c>
      <c r="B145" s="28" t="s">
        <v>2209</v>
      </c>
      <c r="C145" s="28" t="s">
        <v>2210</v>
      </c>
      <c r="D145" s="28" t="s">
        <v>102</v>
      </c>
      <c r="E145" s="28"/>
      <c r="F145" s="28"/>
      <c r="G145" s="28" t="s">
        <v>675</v>
      </c>
      <c r="H145" s="28" t="s">
        <v>2678</v>
      </c>
      <c r="I145" s="28" t="s">
        <v>2220</v>
      </c>
      <c r="J145" s="28" t="s">
        <v>2679</v>
      </c>
      <c r="K145" s="28" t="s">
        <v>2680</v>
      </c>
      <c r="L145" s="28" t="s">
        <v>2683</v>
      </c>
      <c r="M145" s="28" t="s">
        <v>121</v>
      </c>
      <c r="N145" s="28" t="s">
        <v>201</v>
      </c>
      <c r="O145" s="28"/>
      <c r="P145" s="28" t="s">
        <v>101</v>
      </c>
      <c r="Q145" s="28"/>
      <c r="R145" s="28"/>
    </row>
    <row r="146" customFormat="false" ht="15" hidden="false" customHeight="false" outlineLevel="0" collapsed="false">
      <c r="A146" s="28" t="s">
        <v>2684</v>
      </c>
      <c r="B146" s="28" t="s">
        <v>2209</v>
      </c>
      <c r="C146" s="28" t="s">
        <v>2210</v>
      </c>
      <c r="D146" s="28" t="s">
        <v>102</v>
      </c>
      <c r="E146" s="28"/>
      <c r="F146" s="28"/>
      <c r="G146" s="28" t="s">
        <v>675</v>
      </c>
      <c r="H146" s="28" t="s">
        <v>2685</v>
      </c>
      <c r="I146" s="28" t="s">
        <v>2251</v>
      </c>
      <c r="J146" s="28" t="s">
        <v>2686</v>
      </c>
      <c r="K146" s="28" t="s">
        <v>2687</v>
      </c>
      <c r="L146" s="28" t="s">
        <v>2688</v>
      </c>
      <c r="M146" s="28" t="s">
        <v>111</v>
      </c>
      <c r="N146" s="28" t="s">
        <v>201</v>
      </c>
      <c r="O146" s="28"/>
      <c r="P146" s="28" t="s">
        <v>101</v>
      </c>
      <c r="Q146" s="28"/>
      <c r="R146" s="28"/>
    </row>
    <row r="147" customFormat="false" ht="15" hidden="false" customHeight="false" outlineLevel="0" collapsed="false">
      <c r="A147" s="28" t="s">
        <v>2689</v>
      </c>
      <c r="B147" s="28" t="s">
        <v>2209</v>
      </c>
      <c r="C147" s="28" t="s">
        <v>2210</v>
      </c>
      <c r="D147" s="28" t="s">
        <v>102</v>
      </c>
      <c r="E147" s="28"/>
      <c r="F147" s="28"/>
      <c r="G147" s="28" t="s">
        <v>675</v>
      </c>
      <c r="H147" s="28" t="s">
        <v>2690</v>
      </c>
      <c r="I147" s="28" t="s">
        <v>2220</v>
      </c>
      <c r="J147" s="28" t="s">
        <v>2686</v>
      </c>
      <c r="K147" s="28" t="s">
        <v>2687</v>
      </c>
      <c r="L147" s="28" t="s">
        <v>2691</v>
      </c>
      <c r="M147" s="28" t="s">
        <v>121</v>
      </c>
      <c r="N147" s="28" t="s">
        <v>201</v>
      </c>
      <c r="O147" s="28"/>
      <c r="P147" s="28" t="s">
        <v>101</v>
      </c>
      <c r="Q147" s="28"/>
      <c r="R147" s="28"/>
    </row>
    <row r="148" customFormat="false" ht="15" hidden="false" customHeight="false" outlineLevel="0" collapsed="false">
      <c r="A148" s="28" t="s">
        <v>2692</v>
      </c>
      <c r="B148" s="28" t="s">
        <v>2209</v>
      </c>
      <c r="C148" s="28" t="s">
        <v>2210</v>
      </c>
      <c r="D148" s="28" t="s">
        <v>102</v>
      </c>
      <c r="E148" s="28"/>
      <c r="F148" s="28"/>
      <c r="G148" s="28" t="s">
        <v>675</v>
      </c>
      <c r="H148" s="28" t="s">
        <v>2685</v>
      </c>
      <c r="I148" s="28" t="s">
        <v>2220</v>
      </c>
      <c r="J148" s="28" t="s">
        <v>2686</v>
      </c>
      <c r="K148" s="28" t="s">
        <v>2687</v>
      </c>
      <c r="L148" s="28" t="s">
        <v>2693</v>
      </c>
      <c r="M148" s="28" t="s">
        <v>121</v>
      </c>
      <c r="N148" s="28" t="s">
        <v>201</v>
      </c>
      <c r="O148" s="28"/>
      <c r="P148" s="28" t="s">
        <v>101</v>
      </c>
      <c r="Q148" s="28"/>
      <c r="R148" s="28"/>
    </row>
    <row r="149" customFormat="false" ht="15" hidden="false" customHeight="false" outlineLevel="0" collapsed="false">
      <c r="A149" s="28" t="s">
        <v>2694</v>
      </c>
      <c r="B149" s="28" t="s">
        <v>2209</v>
      </c>
      <c r="C149" s="28" t="s">
        <v>2210</v>
      </c>
      <c r="D149" s="28"/>
      <c r="E149" s="28"/>
      <c r="F149" s="28"/>
      <c r="G149" s="28" t="s">
        <v>731</v>
      </c>
      <c r="H149" s="28" t="s">
        <v>741</v>
      </c>
      <c r="I149" s="28" t="s">
        <v>2220</v>
      </c>
      <c r="J149" s="39" t="s">
        <v>2695</v>
      </c>
      <c r="K149" s="28" t="s">
        <v>2696</v>
      </c>
      <c r="L149" s="28" t="s">
        <v>2697</v>
      </c>
      <c r="M149" s="28" t="s">
        <v>121</v>
      </c>
      <c r="N149" s="28" t="s">
        <v>201</v>
      </c>
      <c r="O149" s="28"/>
      <c r="P149" s="28" t="s">
        <v>101</v>
      </c>
      <c r="Q149" s="28"/>
      <c r="R149" s="28"/>
    </row>
    <row r="150" customFormat="false" ht="15" hidden="false" customHeight="false" outlineLevel="0" collapsed="false">
      <c r="A150" s="28" t="s">
        <v>2698</v>
      </c>
      <c r="B150" s="28" t="s">
        <v>2209</v>
      </c>
      <c r="C150" s="28" t="s">
        <v>2210</v>
      </c>
      <c r="D150" s="28"/>
      <c r="E150" s="28"/>
      <c r="F150" s="28"/>
      <c r="G150" s="28" t="s">
        <v>731</v>
      </c>
      <c r="H150" s="28" t="s">
        <v>745</v>
      </c>
      <c r="I150" s="28" t="s">
        <v>2211</v>
      </c>
      <c r="J150" s="28" t="s">
        <v>2699</v>
      </c>
      <c r="K150" s="28" t="s">
        <v>2700</v>
      </c>
      <c r="L150" s="28" t="s">
        <v>2701</v>
      </c>
      <c r="M150" s="28" t="s">
        <v>111</v>
      </c>
      <c r="N150" s="28" t="s">
        <v>201</v>
      </c>
      <c r="O150" s="28"/>
      <c r="P150" s="28" t="s">
        <v>101</v>
      </c>
      <c r="Q150" s="28"/>
      <c r="R150" s="28"/>
    </row>
    <row r="151" customFormat="false" ht="15" hidden="false" customHeight="false" outlineLevel="0" collapsed="false">
      <c r="A151" s="28" t="s">
        <v>2702</v>
      </c>
      <c r="B151" s="28" t="s">
        <v>2209</v>
      </c>
      <c r="C151" s="28" t="s">
        <v>2210</v>
      </c>
      <c r="D151" s="28"/>
      <c r="E151" s="28"/>
      <c r="F151" s="28"/>
      <c r="G151" s="28" t="s">
        <v>731</v>
      </c>
      <c r="H151" s="28" t="s">
        <v>745</v>
      </c>
      <c r="I151" s="28" t="s">
        <v>2220</v>
      </c>
      <c r="J151" s="28" t="s">
        <v>2699</v>
      </c>
      <c r="K151" s="28" t="s">
        <v>2700</v>
      </c>
      <c r="L151" s="28" t="s">
        <v>2703</v>
      </c>
      <c r="M151" s="28" t="s">
        <v>121</v>
      </c>
      <c r="N151" s="28" t="s">
        <v>201</v>
      </c>
      <c r="O151" s="28"/>
      <c r="P151" s="28" t="s">
        <v>101</v>
      </c>
      <c r="Q151" s="28"/>
      <c r="R151" s="28"/>
    </row>
    <row r="152" customFormat="false" ht="15" hidden="false" customHeight="false" outlineLevel="0" collapsed="false">
      <c r="A152" s="28" t="s">
        <v>2704</v>
      </c>
      <c r="B152" s="28" t="s">
        <v>2209</v>
      </c>
      <c r="C152" s="28" t="s">
        <v>2210</v>
      </c>
      <c r="D152" s="28" t="s">
        <v>102</v>
      </c>
      <c r="E152" s="28"/>
      <c r="F152" s="28"/>
      <c r="G152" s="28" t="s">
        <v>675</v>
      </c>
      <c r="H152" s="28" t="s">
        <v>728</v>
      </c>
      <c r="I152" s="28" t="s">
        <v>2251</v>
      </c>
      <c r="J152" s="28" t="s">
        <v>2559</v>
      </c>
      <c r="K152" s="28" t="s">
        <v>2705</v>
      </c>
      <c r="L152" s="28" t="s">
        <v>2706</v>
      </c>
      <c r="M152" s="28" t="s">
        <v>111</v>
      </c>
      <c r="N152" s="28" t="s">
        <v>201</v>
      </c>
      <c r="O152" s="28"/>
      <c r="P152" s="28" t="s">
        <v>101</v>
      </c>
      <c r="Q152" s="28"/>
      <c r="R152" s="28"/>
    </row>
    <row r="153" customFormat="false" ht="15" hidden="false" customHeight="false" outlineLevel="0" collapsed="false">
      <c r="A153" s="28" t="s">
        <v>2707</v>
      </c>
      <c r="B153" s="28" t="s">
        <v>2209</v>
      </c>
      <c r="C153" s="28" t="s">
        <v>2210</v>
      </c>
      <c r="D153" s="28" t="s">
        <v>2278</v>
      </c>
      <c r="E153" s="28" t="s">
        <v>2279</v>
      </c>
      <c r="F153" s="28"/>
      <c r="G153" s="28" t="s">
        <v>734</v>
      </c>
      <c r="H153" s="28" t="s">
        <v>687</v>
      </c>
      <c r="I153" s="28" t="s">
        <v>2217</v>
      </c>
      <c r="J153" s="28" t="s">
        <v>2708</v>
      </c>
      <c r="K153" s="28" t="s">
        <v>2709</v>
      </c>
      <c r="L153" s="28" t="s">
        <v>2710</v>
      </c>
      <c r="M153" s="28" t="s">
        <v>99</v>
      </c>
      <c r="N153" s="28" t="s">
        <v>201</v>
      </c>
      <c r="O153" s="28"/>
      <c r="P153" s="28" t="s">
        <v>101</v>
      </c>
      <c r="Q153" s="28"/>
      <c r="R153" s="28"/>
    </row>
    <row r="154" customFormat="false" ht="15" hidden="false" customHeight="false" outlineLevel="0" collapsed="false">
      <c r="A154" s="28" t="s">
        <v>2711</v>
      </c>
      <c r="B154" s="28" t="s">
        <v>2209</v>
      </c>
      <c r="C154" s="28" t="s">
        <v>2210</v>
      </c>
      <c r="D154" s="28" t="s">
        <v>2278</v>
      </c>
      <c r="E154" s="28" t="s">
        <v>2279</v>
      </c>
      <c r="F154" s="28"/>
      <c r="G154" s="28" t="s">
        <v>734</v>
      </c>
      <c r="H154" s="28" t="s">
        <v>785</v>
      </c>
      <c r="I154" s="28" t="s">
        <v>2217</v>
      </c>
      <c r="J154" s="28" t="s">
        <v>2712</v>
      </c>
      <c r="K154" s="28" t="s">
        <v>2713</v>
      </c>
      <c r="L154" s="28" t="s">
        <v>2714</v>
      </c>
      <c r="M154" s="28" t="s">
        <v>99</v>
      </c>
      <c r="N154" s="28" t="s">
        <v>201</v>
      </c>
      <c r="O154" s="28"/>
      <c r="P154" s="28" t="s">
        <v>101</v>
      </c>
      <c r="Q154" s="28"/>
      <c r="R154" s="28"/>
    </row>
    <row r="155" customFormat="false" ht="15" hidden="false" customHeight="false" outlineLevel="0" collapsed="false">
      <c r="A155" s="28" t="s">
        <v>2715</v>
      </c>
      <c r="B155" s="28" t="s">
        <v>2209</v>
      </c>
      <c r="C155" s="28" t="s">
        <v>2210</v>
      </c>
      <c r="D155" s="28" t="s">
        <v>2278</v>
      </c>
      <c r="E155" s="28" t="s">
        <v>2279</v>
      </c>
      <c r="F155" s="28"/>
      <c r="G155" s="28" t="s">
        <v>734</v>
      </c>
      <c r="H155" s="28" t="s">
        <v>2716</v>
      </c>
      <c r="I155" s="28" t="s">
        <v>2220</v>
      </c>
      <c r="J155" s="28" t="s">
        <v>2717</v>
      </c>
      <c r="K155" s="28" t="s">
        <v>2718</v>
      </c>
      <c r="L155" s="28" t="s">
        <v>2719</v>
      </c>
      <c r="M155" s="28" t="s">
        <v>121</v>
      </c>
      <c r="N155" s="28" t="s">
        <v>201</v>
      </c>
      <c r="O155" s="28"/>
      <c r="P155" s="28" t="s">
        <v>101</v>
      </c>
      <c r="Q155" s="28"/>
      <c r="R155" s="28"/>
    </row>
    <row r="156" customFormat="false" ht="15" hidden="false" customHeight="false" outlineLevel="0" collapsed="false">
      <c r="A156" s="28" t="s">
        <v>2720</v>
      </c>
      <c r="B156" s="28" t="s">
        <v>2209</v>
      </c>
      <c r="C156" s="28" t="s">
        <v>2210</v>
      </c>
      <c r="D156" s="28"/>
      <c r="E156" s="28"/>
      <c r="F156" s="28"/>
      <c r="G156" s="28" t="s">
        <v>669</v>
      </c>
      <c r="H156" s="28" t="s">
        <v>677</v>
      </c>
      <c r="I156" s="28" t="s">
        <v>2220</v>
      </c>
      <c r="J156" s="39" t="s">
        <v>2721</v>
      </c>
      <c r="K156" s="28" t="s">
        <v>2722</v>
      </c>
      <c r="L156" s="28" t="s">
        <v>2723</v>
      </c>
      <c r="M156" s="28" t="s">
        <v>121</v>
      </c>
      <c r="N156" s="28" t="s">
        <v>201</v>
      </c>
      <c r="O156" s="28"/>
      <c r="P156" s="28" t="s">
        <v>101</v>
      </c>
      <c r="Q156" s="28"/>
      <c r="R156" s="28"/>
    </row>
    <row r="157" customFormat="false" ht="15" hidden="false" customHeight="false" outlineLevel="0" collapsed="false">
      <c r="A157" s="28" t="s">
        <v>2724</v>
      </c>
      <c r="B157" s="28" t="s">
        <v>2209</v>
      </c>
      <c r="C157" s="28" t="s">
        <v>2210</v>
      </c>
      <c r="D157" s="28" t="s">
        <v>102</v>
      </c>
      <c r="E157" s="28"/>
      <c r="F157" s="28"/>
      <c r="G157" s="28" t="s">
        <v>675</v>
      </c>
      <c r="H157" s="28" t="s">
        <v>2725</v>
      </c>
      <c r="I157" s="28" t="s">
        <v>2251</v>
      </c>
      <c r="J157" s="28" t="s">
        <v>2726</v>
      </c>
      <c r="K157" s="28" t="s">
        <v>2727</v>
      </c>
      <c r="L157" s="28" t="s">
        <v>2728</v>
      </c>
      <c r="M157" s="28" t="s">
        <v>111</v>
      </c>
      <c r="N157" s="28" t="s">
        <v>201</v>
      </c>
      <c r="O157" s="28"/>
      <c r="P157" s="28" t="s">
        <v>101</v>
      </c>
      <c r="Q157" s="28"/>
      <c r="R157" s="28"/>
    </row>
    <row r="158" customFormat="false" ht="15" hidden="false" customHeight="false" outlineLevel="0" collapsed="false">
      <c r="A158" s="28" t="s">
        <v>2729</v>
      </c>
      <c r="B158" s="28" t="s">
        <v>2209</v>
      </c>
      <c r="C158" s="28" t="s">
        <v>2210</v>
      </c>
      <c r="D158" s="28" t="s">
        <v>102</v>
      </c>
      <c r="E158" s="28"/>
      <c r="F158" s="28"/>
      <c r="G158" s="28" t="s">
        <v>675</v>
      </c>
      <c r="H158" s="28" t="s">
        <v>2725</v>
      </c>
      <c r="I158" s="28" t="s">
        <v>2220</v>
      </c>
      <c r="J158" s="28" t="s">
        <v>2726</v>
      </c>
      <c r="K158" s="28" t="s">
        <v>2727</v>
      </c>
      <c r="L158" s="28" t="s">
        <v>2730</v>
      </c>
      <c r="M158" s="28" t="s">
        <v>121</v>
      </c>
      <c r="N158" s="28" t="s">
        <v>201</v>
      </c>
      <c r="O158" s="28"/>
      <c r="P158" s="28" t="s">
        <v>101</v>
      </c>
      <c r="Q158" s="28"/>
      <c r="R158" s="28"/>
    </row>
    <row r="159" customFormat="false" ht="15" hidden="false" customHeight="false" outlineLevel="0" collapsed="false">
      <c r="A159" s="28" t="s">
        <v>2731</v>
      </c>
      <c r="B159" s="28" t="s">
        <v>2209</v>
      </c>
      <c r="C159" s="28" t="s">
        <v>2210</v>
      </c>
      <c r="D159" s="28" t="s">
        <v>102</v>
      </c>
      <c r="E159" s="28"/>
      <c r="F159" s="28"/>
      <c r="G159" s="28" t="s">
        <v>675</v>
      </c>
      <c r="H159" s="28" t="s">
        <v>2725</v>
      </c>
      <c r="I159" s="28" t="s">
        <v>2220</v>
      </c>
      <c r="J159" s="28" t="s">
        <v>2726</v>
      </c>
      <c r="K159" s="28" t="s">
        <v>2727</v>
      </c>
      <c r="L159" s="28" t="s">
        <v>2732</v>
      </c>
      <c r="M159" s="28" t="s">
        <v>121</v>
      </c>
      <c r="N159" s="28" t="s">
        <v>201</v>
      </c>
      <c r="O159" s="28"/>
      <c r="P159" s="28" t="s">
        <v>101</v>
      </c>
      <c r="Q159" s="28"/>
      <c r="R159" s="28"/>
    </row>
    <row r="160" customFormat="false" ht="15" hidden="false" customHeight="false" outlineLevel="0" collapsed="false">
      <c r="A160" s="28" t="s">
        <v>2733</v>
      </c>
      <c r="B160" s="28" t="s">
        <v>2209</v>
      </c>
      <c r="C160" s="28" t="s">
        <v>2210</v>
      </c>
      <c r="D160" s="28" t="s">
        <v>102</v>
      </c>
      <c r="E160" s="28"/>
      <c r="F160" s="28"/>
      <c r="G160" s="28" t="s">
        <v>675</v>
      </c>
      <c r="H160" s="28" t="s">
        <v>2725</v>
      </c>
      <c r="I160" s="28" t="s">
        <v>2220</v>
      </c>
      <c r="J160" s="28" t="s">
        <v>2726</v>
      </c>
      <c r="K160" s="28" t="s">
        <v>2727</v>
      </c>
      <c r="L160" s="28" t="s">
        <v>2734</v>
      </c>
      <c r="M160" s="28" t="s">
        <v>121</v>
      </c>
      <c r="N160" s="28" t="s">
        <v>201</v>
      </c>
      <c r="O160" s="28"/>
      <c r="P160" s="28" t="s">
        <v>101</v>
      </c>
      <c r="Q160" s="28"/>
      <c r="R160" s="28"/>
    </row>
    <row r="161" customFormat="false" ht="15" hidden="false" customHeight="false" outlineLevel="0" collapsed="false">
      <c r="A161" s="28" t="s">
        <v>2735</v>
      </c>
      <c r="B161" s="28" t="s">
        <v>2209</v>
      </c>
      <c r="C161" s="28" t="s">
        <v>2210</v>
      </c>
      <c r="D161" s="28" t="s">
        <v>2278</v>
      </c>
      <c r="E161" s="28" t="s">
        <v>2278</v>
      </c>
      <c r="F161" s="28"/>
      <c r="G161" s="28" t="s">
        <v>734</v>
      </c>
      <c r="H161" s="28" t="s">
        <v>2736</v>
      </c>
      <c r="I161" s="28" t="s">
        <v>2251</v>
      </c>
      <c r="J161" s="28" t="s">
        <v>2737</v>
      </c>
      <c r="K161" s="28" t="s">
        <v>2738</v>
      </c>
      <c r="L161" s="28" t="s">
        <v>2739</v>
      </c>
      <c r="M161" s="28" t="s">
        <v>111</v>
      </c>
      <c r="N161" s="28" t="s">
        <v>201</v>
      </c>
      <c r="O161" s="28"/>
      <c r="P161" s="28" t="s">
        <v>101</v>
      </c>
      <c r="Q161" s="28"/>
      <c r="R161" s="28"/>
    </row>
    <row r="162" customFormat="false" ht="15" hidden="false" customHeight="false" outlineLevel="0" collapsed="false">
      <c r="A162" s="28" t="s">
        <v>2740</v>
      </c>
      <c r="B162" s="28" t="s">
        <v>2209</v>
      </c>
      <c r="C162" s="28" t="s">
        <v>2210</v>
      </c>
      <c r="D162" s="28" t="s">
        <v>2278</v>
      </c>
      <c r="E162" s="28" t="s">
        <v>2278</v>
      </c>
      <c r="F162" s="28"/>
      <c r="G162" s="28" t="s">
        <v>734</v>
      </c>
      <c r="H162" s="28" t="s">
        <v>2741</v>
      </c>
      <c r="I162" s="28" t="s">
        <v>2211</v>
      </c>
      <c r="J162" s="28" t="s">
        <v>2742</v>
      </c>
      <c r="K162" s="28" t="s">
        <v>2743</v>
      </c>
      <c r="L162" s="28" t="s">
        <v>2744</v>
      </c>
      <c r="M162" s="28" t="s">
        <v>111</v>
      </c>
      <c r="N162" s="28" t="s">
        <v>201</v>
      </c>
      <c r="O162" s="28"/>
      <c r="P162" s="28" t="s">
        <v>101</v>
      </c>
      <c r="Q162" s="28"/>
      <c r="R162" s="28"/>
    </row>
    <row r="163" customFormat="false" ht="15" hidden="false" customHeight="false" outlineLevel="0" collapsed="false">
      <c r="A163" s="28" t="s">
        <v>2745</v>
      </c>
      <c r="B163" s="28" t="s">
        <v>2209</v>
      </c>
      <c r="C163" s="28" t="s">
        <v>2210</v>
      </c>
      <c r="D163" s="28" t="s">
        <v>2278</v>
      </c>
      <c r="E163" s="28" t="s">
        <v>2278</v>
      </c>
      <c r="F163" s="28"/>
      <c r="G163" s="28" t="s">
        <v>734</v>
      </c>
      <c r="H163" s="28" t="s">
        <v>2746</v>
      </c>
      <c r="I163" s="28" t="s">
        <v>2251</v>
      </c>
      <c r="J163" s="28" t="s">
        <v>2742</v>
      </c>
      <c r="K163" s="28" t="s">
        <v>2743</v>
      </c>
      <c r="L163" s="28" t="s">
        <v>2747</v>
      </c>
      <c r="M163" s="28" t="s">
        <v>111</v>
      </c>
      <c r="N163" s="28" t="s">
        <v>201</v>
      </c>
      <c r="O163" s="28"/>
      <c r="P163" s="28" t="s">
        <v>101</v>
      </c>
      <c r="Q163" s="28"/>
      <c r="R163" s="28"/>
    </row>
    <row r="164" customFormat="false" ht="15" hidden="false" customHeight="false" outlineLevel="0" collapsed="false">
      <c r="A164" s="28" t="s">
        <v>2748</v>
      </c>
      <c r="B164" s="28" t="s">
        <v>2209</v>
      </c>
      <c r="C164" s="28" t="s">
        <v>2210</v>
      </c>
      <c r="D164" s="28" t="s">
        <v>2278</v>
      </c>
      <c r="E164" s="28" t="s">
        <v>2278</v>
      </c>
      <c r="F164" s="28"/>
      <c r="G164" s="28" t="s">
        <v>734</v>
      </c>
      <c r="H164" s="28" t="s">
        <v>2749</v>
      </c>
      <c r="I164" s="28" t="s">
        <v>2220</v>
      </c>
      <c r="J164" s="28" t="s">
        <v>2750</v>
      </c>
      <c r="K164" s="28" t="s">
        <v>2751</v>
      </c>
      <c r="L164" s="28" t="s">
        <v>2752</v>
      </c>
      <c r="M164" s="28" t="s">
        <v>121</v>
      </c>
      <c r="N164" s="28" t="s">
        <v>201</v>
      </c>
      <c r="O164" s="28"/>
      <c r="P164" s="28" t="s">
        <v>101</v>
      </c>
      <c r="Q164" s="28"/>
      <c r="R164" s="28"/>
    </row>
    <row r="165" customFormat="false" ht="15" hidden="false" customHeight="false" outlineLevel="0" collapsed="false">
      <c r="A165" s="28" t="s">
        <v>2753</v>
      </c>
      <c r="B165" s="28" t="s">
        <v>2209</v>
      </c>
      <c r="C165" s="28" t="s">
        <v>2210</v>
      </c>
      <c r="D165" s="28" t="s">
        <v>2278</v>
      </c>
      <c r="E165" s="28" t="s">
        <v>2278</v>
      </c>
      <c r="F165" s="28"/>
      <c r="G165" s="28" t="s">
        <v>734</v>
      </c>
      <c r="H165" s="28" t="s">
        <v>2749</v>
      </c>
      <c r="I165" s="28" t="s">
        <v>2220</v>
      </c>
      <c r="J165" s="28" t="s">
        <v>2750</v>
      </c>
      <c r="K165" s="28" t="s">
        <v>2751</v>
      </c>
      <c r="L165" s="28" t="s">
        <v>2754</v>
      </c>
      <c r="M165" s="28" t="s">
        <v>121</v>
      </c>
      <c r="N165" s="28" t="s">
        <v>201</v>
      </c>
      <c r="O165" s="28"/>
      <c r="P165" s="28" t="s">
        <v>101</v>
      </c>
      <c r="Q165" s="28"/>
      <c r="R165" s="28"/>
    </row>
    <row r="166" customFormat="false" ht="15" hidden="false" customHeight="false" outlineLevel="0" collapsed="false">
      <c r="A166" s="28" t="s">
        <v>2755</v>
      </c>
      <c r="B166" s="28" t="s">
        <v>2209</v>
      </c>
      <c r="C166" s="28" t="s">
        <v>2210</v>
      </c>
      <c r="D166" s="28"/>
      <c r="E166" s="28"/>
      <c r="F166" s="28"/>
      <c r="G166" s="28" t="s">
        <v>741</v>
      </c>
      <c r="H166" s="28" t="s">
        <v>745</v>
      </c>
      <c r="I166" s="28" t="s">
        <v>2220</v>
      </c>
      <c r="J166" s="28" t="s">
        <v>2756</v>
      </c>
      <c r="K166" s="28" t="s">
        <v>2757</v>
      </c>
      <c r="L166" s="28" t="s">
        <v>2758</v>
      </c>
      <c r="M166" s="28" t="s">
        <v>121</v>
      </c>
      <c r="N166" s="28" t="s">
        <v>201</v>
      </c>
      <c r="O166" s="28"/>
      <c r="P166" s="28" t="s">
        <v>101</v>
      </c>
      <c r="Q166" s="28"/>
      <c r="R166" s="28"/>
    </row>
    <row r="167" customFormat="false" ht="15" hidden="false" customHeight="false" outlineLevel="0" collapsed="false">
      <c r="A167" s="28" t="s">
        <v>2759</v>
      </c>
      <c r="B167" s="28" t="s">
        <v>2209</v>
      </c>
      <c r="C167" s="28" t="s">
        <v>2210</v>
      </c>
      <c r="D167" s="28"/>
      <c r="E167" s="28"/>
      <c r="F167" s="28"/>
      <c r="G167" s="28" t="s">
        <v>741</v>
      </c>
      <c r="H167" s="28" t="s">
        <v>745</v>
      </c>
      <c r="I167" s="28" t="s">
        <v>2220</v>
      </c>
      <c r="J167" s="28" t="s">
        <v>2756</v>
      </c>
      <c r="K167" s="28" t="s">
        <v>2757</v>
      </c>
      <c r="L167" s="28" t="s">
        <v>2760</v>
      </c>
      <c r="M167" s="28" t="s">
        <v>121</v>
      </c>
      <c r="N167" s="28" t="s">
        <v>201</v>
      </c>
      <c r="O167" s="28"/>
      <c r="P167" s="28" t="s">
        <v>101</v>
      </c>
      <c r="Q167" s="28"/>
      <c r="R167" s="28"/>
    </row>
    <row r="168" customFormat="false" ht="15" hidden="false" customHeight="false" outlineLevel="0" collapsed="false">
      <c r="A168" s="28" t="s">
        <v>2761</v>
      </c>
      <c r="B168" s="28" t="s">
        <v>2209</v>
      </c>
      <c r="C168" s="28" t="s">
        <v>2210</v>
      </c>
      <c r="D168" s="28"/>
      <c r="E168" s="28"/>
      <c r="F168" s="28"/>
      <c r="G168" s="28" t="s">
        <v>741</v>
      </c>
      <c r="H168" s="28" t="s">
        <v>745</v>
      </c>
      <c r="I168" s="28" t="s">
        <v>2220</v>
      </c>
      <c r="J168" s="28" t="s">
        <v>2756</v>
      </c>
      <c r="K168" s="28" t="s">
        <v>2757</v>
      </c>
      <c r="L168" s="28" t="s">
        <v>2762</v>
      </c>
      <c r="M168" s="28" t="s">
        <v>121</v>
      </c>
      <c r="N168" s="28" t="s">
        <v>201</v>
      </c>
      <c r="O168" s="28"/>
      <c r="P168" s="28" t="s">
        <v>101</v>
      </c>
      <c r="Q168" s="28"/>
      <c r="R168" s="28"/>
    </row>
    <row r="169" customFormat="false" ht="15" hidden="false" customHeight="false" outlineLevel="0" collapsed="false">
      <c r="A169" s="28" t="s">
        <v>2763</v>
      </c>
      <c r="B169" s="28" t="s">
        <v>2209</v>
      </c>
      <c r="C169" s="28" t="s">
        <v>2210</v>
      </c>
      <c r="D169" s="28" t="s">
        <v>2278</v>
      </c>
      <c r="E169" s="28" t="s">
        <v>2278</v>
      </c>
      <c r="F169" s="28"/>
      <c r="G169" s="28" t="s">
        <v>734</v>
      </c>
      <c r="H169" s="28" t="s">
        <v>2764</v>
      </c>
      <c r="I169" s="28" t="s">
        <v>2211</v>
      </c>
      <c r="J169" s="28" t="s">
        <v>2765</v>
      </c>
      <c r="K169" s="28" t="s">
        <v>2766</v>
      </c>
      <c r="L169" s="28" t="s">
        <v>2767</v>
      </c>
      <c r="M169" s="28" t="s">
        <v>111</v>
      </c>
      <c r="N169" s="28" t="s">
        <v>201</v>
      </c>
      <c r="O169" s="28"/>
      <c r="P169" s="28" t="s">
        <v>101</v>
      </c>
      <c r="Q169" s="28"/>
      <c r="R169" s="28"/>
    </row>
    <row r="170" customFormat="false" ht="15" hidden="false" customHeight="false" outlineLevel="0" collapsed="false">
      <c r="A170" s="28" t="s">
        <v>2768</v>
      </c>
      <c r="B170" s="28" t="s">
        <v>2209</v>
      </c>
      <c r="C170" s="28" t="s">
        <v>2210</v>
      </c>
      <c r="D170" s="28" t="s">
        <v>2278</v>
      </c>
      <c r="E170" s="28" t="s">
        <v>2278</v>
      </c>
      <c r="F170" s="28"/>
      <c r="G170" s="28" t="s">
        <v>734</v>
      </c>
      <c r="H170" s="28" t="s">
        <v>2769</v>
      </c>
      <c r="I170" s="28" t="s">
        <v>2211</v>
      </c>
      <c r="J170" s="28" t="s">
        <v>2770</v>
      </c>
      <c r="K170" s="28" t="s">
        <v>2771</v>
      </c>
      <c r="L170" s="28" t="s">
        <v>2772</v>
      </c>
      <c r="M170" s="28" t="s">
        <v>111</v>
      </c>
      <c r="N170" s="28" t="s">
        <v>201</v>
      </c>
      <c r="O170" s="28"/>
      <c r="P170" s="28" t="s">
        <v>101</v>
      </c>
      <c r="Q170" s="28"/>
      <c r="R170" s="28"/>
    </row>
    <row r="171" customFormat="false" ht="15" hidden="false" customHeight="false" outlineLevel="0" collapsed="false">
      <c r="A171" s="28" t="s">
        <v>2773</v>
      </c>
      <c r="B171" s="28" t="s">
        <v>2209</v>
      </c>
      <c r="C171" s="28" t="s">
        <v>2210</v>
      </c>
      <c r="D171" s="28" t="s">
        <v>2278</v>
      </c>
      <c r="E171" s="28" t="s">
        <v>2278</v>
      </c>
      <c r="F171" s="28"/>
      <c r="G171" s="28" t="s">
        <v>734</v>
      </c>
      <c r="H171" s="28" t="s">
        <v>2625</v>
      </c>
      <c r="I171" s="28" t="s">
        <v>2251</v>
      </c>
      <c r="J171" s="28" t="s">
        <v>2770</v>
      </c>
      <c r="K171" s="28" t="s">
        <v>2771</v>
      </c>
      <c r="L171" s="28" t="s">
        <v>2774</v>
      </c>
      <c r="M171" s="28" t="s">
        <v>111</v>
      </c>
      <c r="N171" s="28" t="s">
        <v>201</v>
      </c>
      <c r="O171" s="28"/>
      <c r="P171" s="28" t="s">
        <v>101</v>
      </c>
      <c r="Q171" s="28"/>
      <c r="R171" s="28"/>
    </row>
    <row r="172" customFormat="false" ht="15" hidden="false" customHeight="false" outlineLevel="0" collapsed="false">
      <c r="A172" s="28" t="s">
        <v>2775</v>
      </c>
      <c r="B172" s="28" t="s">
        <v>2209</v>
      </c>
      <c r="C172" s="28" t="s">
        <v>2210</v>
      </c>
      <c r="D172" s="28"/>
      <c r="E172" s="28"/>
      <c r="F172" s="28"/>
      <c r="G172" s="28" t="s">
        <v>745</v>
      </c>
      <c r="H172" s="28" t="s">
        <v>679</v>
      </c>
      <c r="I172" s="28" t="s">
        <v>2251</v>
      </c>
      <c r="J172" s="39" t="s">
        <v>2776</v>
      </c>
      <c r="K172" s="28" t="s">
        <v>2777</v>
      </c>
      <c r="L172" s="28" t="s">
        <v>2778</v>
      </c>
      <c r="M172" s="28" t="s">
        <v>111</v>
      </c>
      <c r="N172" s="28" t="s">
        <v>201</v>
      </c>
      <c r="O172" s="28"/>
      <c r="P172" s="28" t="s">
        <v>101</v>
      </c>
      <c r="Q172" s="28"/>
      <c r="R172" s="28"/>
    </row>
    <row r="173" customFormat="false" ht="15" hidden="false" customHeight="false" outlineLevel="0" collapsed="false">
      <c r="A173" s="28" t="s">
        <v>2779</v>
      </c>
      <c r="B173" s="28" t="s">
        <v>2209</v>
      </c>
      <c r="C173" s="28" t="s">
        <v>2210</v>
      </c>
      <c r="D173" s="28"/>
      <c r="E173" s="28"/>
      <c r="F173" s="28"/>
      <c r="G173" s="28" t="s">
        <v>745</v>
      </c>
      <c r="H173" s="28" t="s">
        <v>679</v>
      </c>
      <c r="I173" s="28" t="s">
        <v>2251</v>
      </c>
      <c r="J173" s="39" t="s">
        <v>2776</v>
      </c>
      <c r="K173" s="28" t="s">
        <v>2777</v>
      </c>
      <c r="L173" s="28" t="s">
        <v>2780</v>
      </c>
      <c r="M173" s="28" t="s">
        <v>111</v>
      </c>
      <c r="N173" s="28" t="s">
        <v>201</v>
      </c>
      <c r="O173" s="28"/>
      <c r="P173" s="28" t="s">
        <v>101</v>
      </c>
      <c r="Q173" s="28"/>
      <c r="R173" s="28"/>
    </row>
    <row r="174" customFormat="false" ht="15" hidden="false" customHeight="false" outlineLevel="0" collapsed="false">
      <c r="A174" s="28" t="s">
        <v>2781</v>
      </c>
      <c r="B174" s="28" t="s">
        <v>2209</v>
      </c>
      <c r="C174" s="28" t="s">
        <v>2210</v>
      </c>
      <c r="D174" s="28"/>
      <c r="E174" s="28"/>
      <c r="F174" s="28"/>
      <c r="G174" s="28" t="s">
        <v>745</v>
      </c>
      <c r="H174" s="28" t="s">
        <v>679</v>
      </c>
      <c r="I174" s="28" t="s">
        <v>2251</v>
      </c>
      <c r="J174" s="39" t="s">
        <v>2776</v>
      </c>
      <c r="K174" s="28" t="s">
        <v>2777</v>
      </c>
      <c r="L174" s="28" t="s">
        <v>2782</v>
      </c>
      <c r="M174" s="28" t="s">
        <v>111</v>
      </c>
      <c r="N174" s="28" t="s">
        <v>201</v>
      </c>
      <c r="O174" s="28"/>
      <c r="P174" s="28" t="s">
        <v>101</v>
      </c>
      <c r="Q174" s="28"/>
      <c r="R174" s="28"/>
    </row>
    <row r="175" customFormat="false" ht="15" hidden="false" customHeight="false" outlineLevel="0" collapsed="false">
      <c r="A175" s="28" t="s">
        <v>2783</v>
      </c>
      <c r="B175" s="28" t="s">
        <v>2209</v>
      </c>
      <c r="C175" s="28" t="s">
        <v>2210</v>
      </c>
      <c r="D175" s="28"/>
      <c r="E175" s="28"/>
      <c r="F175" s="28"/>
      <c r="G175" s="28" t="s">
        <v>745</v>
      </c>
      <c r="H175" s="28" t="s">
        <v>679</v>
      </c>
      <c r="I175" s="28" t="s">
        <v>2220</v>
      </c>
      <c r="J175" s="39" t="s">
        <v>2776</v>
      </c>
      <c r="K175" s="28" t="s">
        <v>2777</v>
      </c>
      <c r="L175" s="28" t="s">
        <v>2784</v>
      </c>
      <c r="M175" s="28" t="s">
        <v>121</v>
      </c>
      <c r="N175" s="28" t="s">
        <v>201</v>
      </c>
      <c r="O175" s="28"/>
      <c r="P175" s="28" t="s">
        <v>101</v>
      </c>
      <c r="Q175" s="28"/>
      <c r="R175" s="28"/>
    </row>
    <row r="176" customFormat="false" ht="15" hidden="false" customHeight="false" outlineLevel="0" collapsed="false">
      <c r="A176" s="28" t="s">
        <v>2785</v>
      </c>
      <c r="B176" s="28" t="s">
        <v>2209</v>
      </c>
      <c r="C176" s="28" t="s">
        <v>2210</v>
      </c>
      <c r="D176" s="28"/>
      <c r="E176" s="28"/>
      <c r="F176" s="28"/>
      <c r="G176" s="28" t="s">
        <v>745</v>
      </c>
      <c r="H176" s="28" t="s">
        <v>2786</v>
      </c>
      <c r="I176" s="28" t="s">
        <v>2220</v>
      </c>
      <c r="J176" s="39" t="s">
        <v>2776</v>
      </c>
      <c r="K176" s="28" t="s">
        <v>2777</v>
      </c>
      <c r="L176" s="28" t="s">
        <v>2787</v>
      </c>
      <c r="M176" s="28" t="s">
        <v>121</v>
      </c>
      <c r="N176" s="28" t="s">
        <v>201</v>
      </c>
      <c r="O176" s="28"/>
      <c r="P176" s="28" t="s">
        <v>101</v>
      </c>
      <c r="Q176" s="28"/>
      <c r="R176" s="28"/>
    </row>
    <row r="177" customFormat="false" ht="15" hidden="false" customHeight="false" outlineLevel="0" collapsed="false">
      <c r="A177" s="28" t="s">
        <v>2788</v>
      </c>
      <c r="B177" s="28" t="s">
        <v>2209</v>
      </c>
      <c r="C177" s="28" t="s">
        <v>2210</v>
      </c>
      <c r="D177" s="28"/>
      <c r="E177" s="28"/>
      <c r="F177" s="28"/>
      <c r="G177" s="28" t="s">
        <v>745</v>
      </c>
      <c r="H177" s="28" t="s">
        <v>2789</v>
      </c>
      <c r="I177" s="28" t="s">
        <v>2251</v>
      </c>
      <c r="J177" s="39" t="s">
        <v>2790</v>
      </c>
      <c r="K177" s="28" t="s">
        <v>2791</v>
      </c>
      <c r="L177" s="28" t="s">
        <v>2792</v>
      </c>
      <c r="M177" s="28" t="s">
        <v>111</v>
      </c>
      <c r="N177" s="28" t="s">
        <v>201</v>
      </c>
      <c r="O177" s="28"/>
      <c r="P177" s="28" t="s">
        <v>101</v>
      </c>
      <c r="Q177" s="28"/>
      <c r="R177" s="28"/>
    </row>
    <row r="178" customFormat="false" ht="15" hidden="false" customHeight="false" outlineLevel="0" collapsed="false">
      <c r="A178" s="28" t="s">
        <v>2793</v>
      </c>
      <c r="B178" s="28" t="s">
        <v>2209</v>
      </c>
      <c r="C178" s="28" t="s">
        <v>2210</v>
      </c>
      <c r="D178" s="28"/>
      <c r="E178" s="28"/>
      <c r="F178" s="28"/>
      <c r="G178" s="28" t="s">
        <v>745</v>
      </c>
      <c r="H178" s="28" t="s">
        <v>2789</v>
      </c>
      <c r="I178" s="28" t="s">
        <v>2251</v>
      </c>
      <c r="J178" s="39" t="s">
        <v>2790</v>
      </c>
      <c r="K178" s="28" t="s">
        <v>2791</v>
      </c>
      <c r="L178" s="28" t="s">
        <v>2794</v>
      </c>
      <c r="M178" s="28" t="s">
        <v>111</v>
      </c>
      <c r="N178" s="28" t="s">
        <v>201</v>
      </c>
      <c r="O178" s="28"/>
      <c r="P178" s="28" t="s">
        <v>101</v>
      </c>
      <c r="Q178" s="28"/>
      <c r="R178" s="28"/>
    </row>
    <row r="179" customFormat="false" ht="15" hidden="false" customHeight="false" outlineLevel="0" collapsed="false">
      <c r="A179" s="28" t="s">
        <v>2795</v>
      </c>
      <c r="B179" s="28" t="s">
        <v>2209</v>
      </c>
      <c r="C179" s="28" t="s">
        <v>2210</v>
      </c>
      <c r="D179" s="28"/>
      <c r="E179" s="28"/>
      <c r="F179" s="28"/>
      <c r="G179" s="28" t="s">
        <v>745</v>
      </c>
      <c r="H179" s="28" t="s">
        <v>2789</v>
      </c>
      <c r="I179" s="28" t="s">
        <v>2251</v>
      </c>
      <c r="J179" s="39" t="s">
        <v>2790</v>
      </c>
      <c r="K179" s="28" t="s">
        <v>2791</v>
      </c>
      <c r="L179" s="28" t="s">
        <v>2796</v>
      </c>
      <c r="M179" s="28" t="s">
        <v>111</v>
      </c>
      <c r="N179" s="28" t="s">
        <v>201</v>
      </c>
      <c r="O179" s="28"/>
      <c r="P179" s="28" t="s">
        <v>101</v>
      </c>
      <c r="Q179" s="28"/>
      <c r="R179" s="28"/>
    </row>
    <row r="180" customFormat="false" ht="15" hidden="false" customHeight="false" outlineLevel="0" collapsed="false">
      <c r="A180" s="28" t="s">
        <v>2797</v>
      </c>
      <c r="B180" s="28" t="s">
        <v>2209</v>
      </c>
      <c r="C180" s="28" t="s">
        <v>2210</v>
      </c>
      <c r="D180" s="28"/>
      <c r="E180" s="28"/>
      <c r="F180" s="28"/>
      <c r="G180" s="28" t="s">
        <v>745</v>
      </c>
      <c r="H180" s="28" t="s">
        <v>2789</v>
      </c>
      <c r="I180" s="28" t="s">
        <v>2251</v>
      </c>
      <c r="J180" s="39" t="s">
        <v>2790</v>
      </c>
      <c r="K180" s="28" t="s">
        <v>2791</v>
      </c>
      <c r="L180" s="28" t="s">
        <v>2798</v>
      </c>
      <c r="M180" s="28" t="s">
        <v>111</v>
      </c>
      <c r="N180" s="28" t="s">
        <v>201</v>
      </c>
      <c r="O180" s="28"/>
      <c r="P180" s="28" t="s">
        <v>101</v>
      </c>
      <c r="Q180" s="28"/>
      <c r="R180" s="28"/>
    </row>
    <row r="181" customFormat="false" ht="15" hidden="false" customHeight="false" outlineLevel="0" collapsed="false">
      <c r="A181" s="28" t="s">
        <v>2799</v>
      </c>
      <c r="B181" s="28" t="s">
        <v>2209</v>
      </c>
      <c r="C181" s="28" t="s">
        <v>2210</v>
      </c>
      <c r="D181" s="28"/>
      <c r="E181" s="28"/>
      <c r="F181" s="28"/>
      <c r="G181" s="28" t="s">
        <v>745</v>
      </c>
      <c r="H181" s="28" t="s">
        <v>2800</v>
      </c>
      <c r="I181" s="28" t="s">
        <v>2217</v>
      </c>
      <c r="J181" s="39" t="s">
        <v>2790</v>
      </c>
      <c r="K181" s="28" t="s">
        <v>2791</v>
      </c>
      <c r="L181" s="28" t="s">
        <v>2801</v>
      </c>
      <c r="M181" s="28" t="s">
        <v>99</v>
      </c>
      <c r="N181" s="28" t="s">
        <v>201</v>
      </c>
      <c r="O181" s="28"/>
      <c r="P181" s="28" t="s">
        <v>101</v>
      </c>
      <c r="Q181" s="28"/>
      <c r="R181" s="28"/>
    </row>
    <row r="182" customFormat="false" ht="15" hidden="false" customHeight="false" outlineLevel="0" collapsed="false">
      <c r="A182" s="28" t="s">
        <v>2802</v>
      </c>
      <c r="B182" s="28" t="s">
        <v>2209</v>
      </c>
      <c r="C182" s="28" t="s">
        <v>2210</v>
      </c>
      <c r="D182" s="28"/>
      <c r="E182" s="28"/>
      <c r="F182" s="28"/>
      <c r="G182" s="28" t="s">
        <v>745</v>
      </c>
      <c r="H182" s="28" t="s">
        <v>2800</v>
      </c>
      <c r="I182" s="28" t="s">
        <v>2220</v>
      </c>
      <c r="J182" s="39" t="s">
        <v>2790</v>
      </c>
      <c r="K182" s="28" t="s">
        <v>2791</v>
      </c>
      <c r="L182" s="28" t="s">
        <v>2803</v>
      </c>
      <c r="M182" s="28" t="s">
        <v>121</v>
      </c>
      <c r="N182" s="28" t="s">
        <v>201</v>
      </c>
      <c r="O182" s="28"/>
      <c r="P182" s="28" t="s">
        <v>101</v>
      </c>
      <c r="Q182" s="28"/>
      <c r="R182" s="28"/>
    </row>
    <row r="183" customFormat="false" ht="15" hidden="false" customHeight="false" outlineLevel="0" collapsed="false">
      <c r="A183" s="28" t="s">
        <v>2804</v>
      </c>
      <c r="B183" s="28" t="s">
        <v>2209</v>
      </c>
      <c r="C183" s="28" t="s">
        <v>2210</v>
      </c>
      <c r="D183" s="28"/>
      <c r="E183" s="28"/>
      <c r="F183" s="28"/>
      <c r="G183" s="28" t="s">
        <v>745</v>
      </c>
      <c r="H183" s="28" t="s">
        <v>2800</v>
      </c>
      <c r="I183" s="28" t="s">
        <v>2220</v>
      </c>
      <c r="J183" s="39" t="s">
        <v>2790</v>
      </c>
      <c r="K183" s="28" t="s">
        <v>2791</v>
      </c>
      <c r="L183" s="28" t="s">
        <v>2805</v>
      </c>
      <c r="M183" s="28" t="s">
        <v>121</v>
      </c>
      <c r="N183" s="28" t="s">
        <v>201</v>
      </c>
      <c r="O183" s="28"/>
      <c r="P183" s="28" t="s">
        <v>101</v>
      </c>
      <c r="Q183" s="28"/>
      <c r="R183" s="28"/>
    </row>
    <row r="184" customFormat="false" ht="15" hidden="false" customHeight="false" outlineLevel="0" collapsed="false">
      <c r="A184" s="28" t="s">
        <v>2806</v>
      </c>
      <c r="B184" s="28" t="s">
        <v>2209</v>
      </c>
      <c r="C184" s="28" t="s">
        <v>2210</v>
      </c>
      <c r="D184" s="28"/>
      <c r="E184" s="28"/>
      <c r="F184" s="28"/>
      <c r="G184" s="28" t="s">
        <v>745</v>
      </c>
      <c r="H184" s="28" t="s">
        <v>2800</v>
      </c>
      <c r="I184" s="28" t="s">
        <v>2220</v>
      </c>
      <c r="J184" s="39" t="s">
        <v>2790</v>
      </c>
      <c r="K184" s="28" t="s">
        <v>2791</v>
      </c>
      <c r="L184" s="28" t="s">
        <v>2807</v>
      </c>
      <c r="M184" s="28" t="s">
        <v>121</v>
      </c>
      <c r="N184" s="28" t="s">
        <v>201</v>
      </c>
      <c r="O184" s="28"/>
      <c r="P184" s="28" t="s">
        <v>101</v>
      </c>
      <c r="Q184" s="28"/>
      <c r="R184" s="28"/>
    </row>
    <row r="185" customFormat="false" ht="15" hidden="false" customHeight="false" outlineLevel="0" collapsed="false">
      <c r="A185" s="28" t="s">
        <v>2808</v>
      </c>
      <c r="B185" s="28" t="s">
        <v>2209</v>
      </c>
      <c r="C185" s="28" t="s">
        <v>2210</v>
      </c>
      <c r="D185" s="28"/>
      <c r="E185" s="28"/>
      <c r="F185" s="28"/>
      <c r="G185" s="28" t="s">
        <v>745</v>
      </c>
      <c r="H185" s="28" t="s">
        <v>2809</v>
      </c>
      <c r="I185" s="28" t="s">
        <v>2217</v>
      </c>
      <c r="J185" s="39" t="s">
        <v>2810</v>
      </c>
      <c r="K185" s="28" t="s">
        <v>2811</v>
      </c>
      <c r="L185" s="28" t="s">
        <v>2812</v>
      </c>
      <c r="M185" s="28" t="s">
        <v>99</v>
      </c>
      <c r="N185" s="28" t="s">
        <v>201</v>
      </c>
      <c r="O185" s="28"/>
      <c r="P185" s="28" t="s">
        <v>101</v>
      </c>
      <c r="Q185" s="28"/>
      <c r="R185" s="28"/>
    </row>
    <row r="186" customFormat="false" ht="15" hidden="false" customHeight="false" outlineLevel="0" collapsed="false">
      <c r="A186" s="28" t="s">
        <v>2813</v>
      </c>
      <c r="B186" s="28" t="s">
        <v>2209</v>
      </c>
      <c r="C186" s="28" t="s">
        <v>2210</v>
      </c>
      <c r="D186" s="28"/>
      <c r="E186" s="28"/>
      <c r="F186" s="28"/>
      <c r="G186" s="28" t="s">
        <v>741</v>
      </c>
      <c r="H186" s="28" t="s">
        <v>669</v>
      </c>
      <c r="I186" s="28" t="s">
        <v>2211</v>
      </c>
      <c r="J186" s="39" t="s">
        <v>2814</v>
      </c>
      <c r="K186" s="28" t="s">
        <v>2815</v>
      </c>
      <c r="L186" s="28" t="s">
        <v>2816</v>
      </c>
      <c r="M186" s="28" t="s">
        <v>111</v>
      </c>
      <c r="N186" s="28" t="s">
        <v>201</v>
      </c>
      <c r="O186" s="28"/>
      <c r="P186" s="28" t="s">
        <v>101</v>
      </c>
      <c r="Q186" s="28"/>
      <c r="R186" s="28"/>
    </row>
    <row r="187" customFormat="false" ht="15" hidden="false" customHeight="false" outlineLevel="0" collapsed="false">
      <c r="A187" s="28" t="s">
        <v>2817</v>
      </c>
      <c r="B187" s="28" t="s">
        <v>2209</v>
      </c>
      <c r="C187" s="28" t="s">
        <v>2210</v>
      </c>
      <c r="D187" s="28"/>
      <c r="E187" s="28"/>
      <c r="F187" s="28"/>
      <c r="G187" s="28" t="s">
        <v>741</v>
      </c>
      <c r="H187" s="28" t="s">
        <v>675</v>
      </c>
      <c r="I187" s="28" t="s">
        <v>2220</v>
      </c>
      <c r="J187" s="39" t="s">
        <v>2818</v>
      </c>
      <c r="K187" s="28" t="s">
        <v>2819</v>
      </c>
      <c r="L187" s="28" t="s">
        <v>2820</v>
      </c>
      <c r="M187" s="28" t="s">
        <v>121</v>
      </c>
      <c r="N187" s="28" t="s">
        <v>201</v>
      </c>
      <c r="O187" s="28"/>
      <c r="P187" s="28" t="s">
        <v>101</v>
      </c>
      <c r="Q187" s="28"/>
      <c r="R187" s="28"/>
    </row>
    <row r="188" customFormat="false" ht="15" hidden="false" customHeight="false" outlineLevel="0" collapsed="false">
      <c r="A188" s="28" t="s">
        <v>2821</v>
      </c>
      <c r="B188" s="28" t="s">
        <v>2209</v>
      </c>
      <c r="C188" s="28" t="s">
        <v>2210</v>
      </c>
      <c r="D188" s="28"/>
      <c r="E188" s="28"/>
      <c r="F188" s="28"/>
      <c r="G188" s="28" t="s">
        <v>745</v>
      </c>
      <c r="H188" s="28" t="s">
        <v>2822</v>
      </c>
      <c r="I188" s="28" t="s">
        <v>2220</v>
      </c>
      <c r="J188" s="28" t="s">
        <v>2823</v>
      </c>
      <c r="K188" s="28" t="s">
        <v>2824</v>
      </c>
      <c r="L188" s="28" t="s">
        <v>2825</v>
      </c>
      <c r="M188" s="28" t="s">
        <v>121</v>
      </c>
      <c r="N188" s="28" t="s">
        <v>201</v>
      </c>
      <c r="O188" s="28"/>
      <c r="P188" s="28" t="s">
        <v>101</v>
      </c>
      <c r="Q188" s="28"/>
      <c r="R188" s="28"/>
    </row>
    <row r="189" customFormat="false" ht="15" hidden="false" customHeight="false" outlineLevel="0" collapsed="false">
      <c r="A189" s="28" t="s">
        <v>2826</v>
      </c>
      <c r="B189" s="28" t="s">
        <v>2209</v>
      </c>
      <c r="C189" s="28" t="s">
        <v>2210</v>
      </c>
      <c r="D189" s="28"/>
      <c r="E189" s="28"/>
      <c r="F189" s="28"/>
      <c r="G189" s="28" t="s">
        <v>745</v>
      </c>
      <c r="H189" s="28" t="s">
        <v>2827</v>
      </c>
      <c r="I189" s="28" t="s">
        <v>2251</v>
      </c>
      <c r="J189" s="39" t="s">
        <v>2828</v>
      </c>
      <c r="K189" s="28" t="s">
        <v>2829</v>
      </c>
      <c r="L189" s="28" t="s">
        <v>2830</v>
      </c>
      <c r="M189" s="28" t="s">
        <v>111</v>
      </c>
      <c r="N189" s="28" t="s">
        <v>201</v>
      </c>
      <c r="O189" s="28"/>
      <c r="P189" s="28" t="s">
        <v>101</v>
      </c>
      <c r="Q189" s="28"/>
      <c r="R189" s="28"/>
    </row>
    <row r="190" customFormat="false" ht="15" hidden="false" customHeight="false" outlineLevel="0" collapsed="false">
      <c r="A190" s="28" t="s">
        <v>2831</v>
      </c>
      <c r="B190" s="28" t="s">
        <v>2209</v>
      </c>
      <c r="C190" s="28" t="s">
        <v>2210</v>
      </c>
      <c r="D190" s="28"/>
      <c r="E190" s="28"/>
      <c r="F190" s="28"/>
      <c r="G190" s="28" t="s">
        <v>745</v>
      </c>
      <c r="H190" s="28" t="s">
        <v>2827</v>
      </c>
      <c r="I190" s="28" t="s">
        <v>2220</v>
      </c>
      <c r="J190" s="39" t="s">
        <v>2828</v>
      </c>
      <c r="K190" s="28" t="s">
        <v>2829</v>
      </c>
      <c r="L190" s="28" t="s">
        <v>2832</v>
      </c>
      <c r="M190" s="28" t="s">
        <v>121</v>
      </c>
      <c r="N190" s="28" t="s">
        <v>201</v>
      </c>
      <c r="O190" s="28"/>
      <c r="P190" s="28" t="s">
        <v>101</v>
      </c>
      <c r="Q190" s="28"/>
      <c r="R190" s="28"/>
    </row>
    <row r="191" customFormat="false" ht="15" hidden="false" customHeight="false" outlineLevel="0" collapsed="false">
      <c r="A191" s="28" t="s">
        <v>2833</v>
      </c>
      <c r="B191" s="28" t="s">
        <v>2209</v>
      </c>
      <c r="C191" s="28" t="s">
        <v>2210</v>
      </c>
      <c r="D191" s="28"/>
      <c r="E191" s="28"/>
      <c r="F191" s="28"/>
      <c r="G191" s="28" t="s">
        <v>745</v>
      </c>
      <c r="H191" s="28" t="s">
        <v>681</v>
      </c>
      <c r="I191" s="28" t="s">
        <v>2211</v>
      </c>
      <c r="J191" s="39" t="s">
        <v>2834</v>
      </c>
      <c r="K191" s="28" t="s">
        <v>2835</v>
      </c>
      <c r="L191" s="28" t="s">
        <v>2836</v>
      </c>
      <c r="M191" s="28" t="s">
        <v>111</v>
      </c>
      <c r="N191" s="28" t="s">
        <v>201</v>
      </c>
      <c r="O191" s="28"/>
      <c r="P191" s="28" t="s">
        <v>101</v>
      </c>
      <c r="Q191" s="28"/>
      <c r="R191" s="28"/>
    </row>
    <row r="192" customFormat="false" ht="15" hidden="false" customHeight="false" outlineLevel="0" collapsed="false">
      <c r="A192" s="28" t="s">
        <v>2837</v>
      </c>
      <c r="B192" s="28" t="s">
        <v>2209</v>
      </c>
      <c r="C192" s="28" t="s">
        <v>2210</v>
      </c>
      <c r="D192" s="28"/>
      <c r="E192" s="28"/>
      <c r="F192" s="28"/>
      <c r="G192" s="28" t="s">
        <v>745</v>
      </c>
      <c r="H192" s="28" t="s">
        <v>681</v>
      </c>
      <c r="I192" s="28" t="s">
        <v>2251</v>
      </c>
      <c r="J192" s="39" t="s">
        <v>2834</v>
      </c>
      <c r="K192" s="28" t="s">
        <v>2835</v>
      </c>
      <c r="L192" s="28" t="s">
        <v>2838</v>
      </c>
      <c r="M192" s="28" t="s">
        <v>111</v>
      </c>
      <c r="N192" s="28" t="s">
        <v>201</v>
      </c>
      <c r="O192" s="28"/>
      <c r="P192" s="28" t="s">
        <v>101</v>
      </c>
      <c r="Q192" s="28"/>
      <c r="R192" s="28"/>
    </row>
    <row r="193" customFormat="false" ht="15" hidden="false" customHeight="false" outlineLevel="0" collapsed="false">
      <c r="A193" s="28" t="s">
        <v>2839</v>
      </c>
      <c r="B193" s="28" t="s">
        <v>2209</v>
      </c>
      <c r="C193" s="28" t="s">
        <v>2210</v>
      </c>
      <c r="D193" s="28"/>
      <c r="E193" s="28"/>
      <c r="F193" s="28"/>
      <c r="G193" s="28" t="s">
        <v>745</v>
      </c>
      <c r="H193" s="28" t="s">
        <v>2840</v>
      </c>
      <c r="I193" s="28" t="s">
        <v>2220</v>
      </c>
      <c r="J193" s="39" t="s">
        <v>2834</v>
      </c>
      <c r="K193" s="28" t="s">
        <v>2835</v>
      </c>
      <c r="L193" s="28" t="s">
        <v>2841</v>
      </c>
      <c r="M193" s="28" t="s">
        <v>121</v>
      </c>
      <c r="N193" s="28" t="s">
        <v>201</v>
      </c>
      <c r="O193" s="28"/>
      <c r="P193" s="28" t="s">
        <v>101</v>
      </c>
      <c r="Q193" s="28"/>
      <c r="R193" s="28"/>
    </row>
    <row r="194" customFormat="false" ht="15" hidden="false" customHeight="false" outlineLevel="0" collapsed="false">
      <c r="A194" s="28" t="s">
        <v>2842</v>
      </c>
      <c r="B194" s="28" t="s">
        <v>2209</v>
      </c>
      <c r="C194" s="28" t="s">
        <v>2210</v>
      </c>
      <c r="D194" s="28"/>
      <c r="E194" s="28"/>
      <c r="F194" s="28"/>
      <c r="G194" s="28" t="s">
        <v>745</v>
      </c>
      <c r="H194" s="28" t="s">
        <v>2840</v>
      </c>
      <c r="I194" s="28" t="s">
        <v>2220</v>
      </c>
      <c r="J194" s="39" t="s">
        <v>2834</v>
      </c>
      <c r="K194" s="28" t="s">
        <v>2835</v>
      </c>
      <c r="L194" s="28" t="s">
        <v>2843</v>
      </c>
      <c r="M194" s="28" t="s">
        <v>121</v>
      </c>
      <c r="N194" s="28" t="s">
        <v>201</v>
      </c>
      <c r="O194" s="28"/>
      <c r="P194" s="28" t="s">
        <v>101</v>
      </c>
      <c r="Q194" s="28"/>
      <c r="R194" s="28"/>
    </row>
    <row r="195" customFormat="false" ht="15" hidden="false" customHeight="false" outlineLevel="0" collapsed="false">
      <c r="A195" s="28" t="s">
        <v>2844</v>
      </c>
      <c r="B195" s="28" t="s">
        <v>2209</v>
      </c>
      <c r="C195" s="28" t="s">
        <v>2210</v>
      </c>
      <c r="D195" s="28"/>
      <c r="E195" s="28"/>
      <c r="F195" s="28"/>
      <c r="G195" s="28" t="s">
        <v>745</v>
      </c>
      <c r="H195" s="28" t="s">
        <v>2845</v>
      </c>
      <c r="I195" s="28" t="s">
        <v>2211</v>
      </c>
      <c r="J195" s="39" t="s">
        <v>2846</v>
      </c>
      <c r="K195" s="28" t="s">
        <v>2847</v>
      </c>
      <c r="L195" s="28" t="s">
        <v>2848</v>
      </c>
      <c r="M195" s="28" t="s">
        <v>111</v>
      </c>
      <c r="N195" s="28" t="s">
        <v>201</v>
      </c>
      <c r="O195" s="28"/>
      <c r="P195" s="28" t="s">
        <v>101</v>
      </c>
      <c r="Q195" s="28"/>
      <c r="R195" s="28"/>
    </row>
    <row r="196" customFormat="false" ht="15" hidden="false" customHeight="false" outlineLevel="0" collapsed="false">
      <c r="A196" s="28" t="s">
        <v>2849</v>
      </c>
      <c r="B196" s="28" t="s">
        <v>2209</v>
      </c>
      <c r="C196" s="28" t="s">
        <v>2210</v>
      </c>
      <c r="D196" s="28"/>
      <c r="E196" s="28"/>
      <c r="F196" s="28"/>
      <c r="G196" s="28" t="s">
        <v>745</v>
      </c>
      <c r="H196" s="28" t="s">
        <v>2845</v>
      </c>
      <c r="I196" s="28" t="s">
        <v>2211</v>
      </c>
      <c r="J196" s="39" t="s">
        <v>2846</v>
      </c>
      <c r="K196" s="28" t="s">
        <v>2847</v>
      </c>
      <c r="L196" s="28" t="s">
        <v>2850</v>
      </c>
      <c r="M196" s="28" t="s">
        <v>111</v>
      </c>
      <c r="N196" s="28" t="s">
        <v>201</v>
      </c>
      <c r="O196" s="28"/>
      <c r="P196" s="28" t="s">
        <v>101</v>
      </c>
      <c r="Q196" s="28"/>
      <c r="R196" s="28"/>
    </row>
    <row r="197" customFormat="false" ht="15" hidden="false" customHeight="false" outlineLevel="0" collapsed="false">
      <c r="A197" s="28" t="s">
        <v>2851</v>
      </c>
      <c r="B197" s="28" t="s">
        <v>2209</v>
      </c>
      <c r="C197" s="28" t="s">
        <v>2210</v>
      </c>
      <c r="D197" s="28"/>
      <c r="E197" s="28"/>
      <c r="F197" s="28"/>
      <c r="G197" s="28" t="s">
        <v>745</v>
      </c>
      <c r="H197" s="28" t="s">
        <v>2845</v>
      </c>
      <c r="I197" s="28" t="s">
        <v>2251</v>
      </c>
      <c r="J197" s="39" t="s">
        <v>2846</v>
      </c>
      <c r="K197" s="28" t="s">
        <v>2847</v>
      </c>
      <c r="L197" s="28" t="s">
        <v>2852</v>
      </c>
      <c r="M197" s="28" t="s">
        <v>111</v>
      </c>
      <c r="N197" s="28" t="s">
        <v>201</v>
      </c>
      <c r="O197" s="28"/>
      <c r="P197" s="28" t="s">
        <v>101</v>
      </c>
      <c r="Q197" s="28"/>
      <c r="R197" s="28"/>
    </row>
    <row r="198" customFormat="false" ht="15" hidden="false" customHeight="false" outlineLevel="0" collapsed="false">
      <c r="A198" s="28" t="s">
        <v>2853</v>
      </c>
      <c r="B198" s="28" t="s">
        <v>2209</v>
      </c>
      <c r="C198" s="28" t="s">
        <v>2210</v>
      </c>
      <c r="D198" s="28"/>
      <c r="E198" s="28"/>
      <c r="F198" s="28"/>
      <c r="G198" s="28" t="s">
        <v>745</v>
      </c>
      <c r="H198" s="28" t="s">
        <v>2845</v>
      </c>
      <c r="I198" s="28" t="s">
        <v>2251</v>
      </c>
      <c r="J198" s="39" t="s">
        <v>2846</v>
      </c>
      <c r="K198" s="28" t="s">
        <v>2847</v>
      </c>
      <c r="L198" s="28" t="s">
        <v>2854</v>
      </c>
      <c r="M198" s="28" t="s">
        <v>111</v>
      </c>
      <c r="N198" s="28" t="s">
        <v>201</v>
      </c>
      <c r="O198" s="28"/>
      <c r="P198" s="28" t="s">
        <v>101</v>
      </c>
      <c r="Q198" s="28"/>
      <c r="R198" s="28"/>
    </row>
    <row r="199" customFormat="false" ht="15" hidden="false" customHeight="false" outlineLevel="0" collapsed="false">
      <c r="A199" s="28" t="s">
        <v>2855</v>
      </c>
      <c r="B199" s="28" t="s">
        <v>2209</v>
      </c>
      <c r="C199" s="28" t="s">
        <v>2210</v>
      </c>
      <c r="D199" s="28"/>
      <c r="E199" s="28"/>
      <c r="F199" s="28"/>
      <c r="G199" s="28" t="s">
        <v>745</v>
      </c>
      <c r="H199" s="28" t="s">
        <v>2845</v>
      </c>
      <c r="I199" s="28" t="s">
        <v>2251</v>
      </c>
      <c r="J199" s="39" t="s">
        <v>2846</v>
      </c>
      <c r="K199" s="28" t="s">
        <v>2847</v>
      </c>
      <c r="L199" s="28" t="s">
        <v>2856</v>
      </c>
      <c r="M199" s="28" t="s">
        <v>111</v>
      </c>
      <c r="N199" s="28" t="s">
        <v>201</v>
      </c>
      <c r="O199" s="28"/>
      <c r="P199" s="28" t="s">
        <v>101</v>
      </c>
      <c r="Q199" s="28"/>
      <c r="R199" s="28"/>
    </row>
    <row r="200" customFormat="false" ht="15" hidden="false" customHeight="false" outlineLevel="0" collapsed="false">
      <c r="A200" s="28" t="s">
        <v>2857</v>
      </c>
      <c r="B200" s="28" t="s">
        <v>2209</v>
      </c>
      <c r="C200" s="28" t="s">
        <v>2210</v>
      </c>
      <c r="D200" s="28"/>
      <c r="E200" s="28"/>
      <c r="F200" s="28"/>
      <c r="G200" s="28" t="s">
        <v>745</v>
      </c>
      <c r="H200" s="28" t="s">
        <v>2845</v>
      </c>
      <c r="I200" s="28" t="s">
        <v>2220</v>
      </c>
      <c r="J200" s="39" t="s">
        <v>2846</v>
      </c>
      <c r="K200" s="28" t="s">
        <v>2847</v>
      </c>
      <c r="L200" s="28" t="s">
        <v>2858</v>
      </c>
      <c r="M200" s="28" t="s">
        <v>121</v>
      </c>
      <c r="N200" s="28" t="s">
        <v>201</v>
      </c>
      <c r="O200" s="28"/>
      <c r="P200" s="28" t="s">
        <v>101</v>
      </c>
      <c r="Q200" s="28"/>
      <c r="R200" s="28"/>
    </row>
    <row r="201" customFormat="false" ht="15" hidden="false" customHeight="false" outlineLevel="0" collapsed="false">
      <c r="A201" s="28" t="s">
        <v>2859</v>
      </c>
      <c r="B201" s="28" t="s">
        <v>2209</v>
      </c>
      <c r="C201" s="28" t="s">
        <v>2210</v>
      </c>
      <c r="D201" s="28"/>
      <c r="E201" s="28"/>
      <c r="F201" s="28"/>
      <c r="G201" s="28" t="s">
        <v>745</v>
      </c>
      <c r="H201" s="28" t="s">
        <v>2845</v>
      </c>
      <c r="I201" s="28" t="s">
        <v>2220</v>
      </c>
      <c r="J201" s="39" t="s">
        <v>2846</v>
      </c>
      <c r="K201" s="28" t="s">
        <v>2847</v>
      </c>
      <c r="L201" s="28" t="s">
        <v>2860</v>
      </c>
      <c r="M201" s="28" t="s">
        <v>121</v>
      </c>
      <c r="N201" s="28" t="s">
        <v>201</v>
      </c>
      <c r="O201" s="28"/>
      <c r="P201" s="28" t="s">
        <v>101</v>
      </c>
      <c r="Q201" s="28"/>
      <c r="R201" s="28"/>
    </row>
    <row r="202" customFormat="false" ht="15" hidden="false" customHeight="false" outlineLevel="0" collapsed="false">
      <c r="A202" s="28" t="s">
        <v>2861</v>
      </c>
      <c r="B202" s="28" t="s">
        <v>2209</v>
      </c>
      <c r="C202" s="28" t="s">
        <v>2210</v>
      </c>
      <c r="D202" s="28"/>
      <c r="E202" s="28"/>
      <c r="F202" s="28"/>
      <c r="G202" s="28" t="s">
        <v>745</v>
      </c>
      <c r="H202" s="28" t="s">
        <v>2862</v>
      </c>
      <c r="I202" s="28" t="s">
        <v>2220</v>
      </c>
      <c r="J202" s="39" t="s">
        <v>2863</v>
      </c>
      <c r="K202" s="28" t="s">
        <v>2864</v>
      </c>
      <c r="L202" s="28" t="s">
        <v>2865</v>
      </c>
      <c r="M202" s="28" t="s">
        <v>121</v>
      </c>
      <c r="N202" s="28" t="s">
        <v>201</v>
      </c>
      <c r="O202" s="28"/>
      <c r="P202" s="28" t="s">
        <v>101</v>
      </c>
      <c r="Q202" s="28"/>
      <c r="R202" s="28"/>
    </row>
    <row r="203" customFormat="false" ht="15" hidden="false" customHeight="false" outlineLevel="0" collapsed="false">
      <c r="A203" s="28" t="s">
        <v>2866</v>
      </c>
      <c r="B203" s="28" t="s">
        <v>2209</v>
      </c>
      <c r="C203" s="28" t="s">
        <v>2210</v>
      </c>
      <c r="D203" s="28"/>
      <c r="E203" s="28"/>
      <c r="F203" s="28"/>
      <c r="G203" s="28" t="s">
        <v>745</v>
      </c>
      <c r="H203" s="28" t="s">
        <v>2867</v>
      </c>
      <c r="I203" s="28" t="s">
        <v>2251</v>
      </c>
      <c r="J203" s="39" t="s">
        <v>2868</v>
      </c>
      <c r="K203" s="28" t="s">
        <v>2869</v>
      </c>
      <c r="L203" s="28" t="s">
        <v>2870</v>
      </c>
      <c r="M203" s="28" t="s">
        <v>111</v>
      </c>
      <c r="N203" s="28" t="s">
        <v>201</v>
      </c>
      <c r="O203" s="28"/>
      <c r="P203" s="28" t="s">
        <v>101</v>
      </c>
      <c r="Q203" s="28"/>
      <c r="R203" s="28"/>
    </row>
    <row r="204" customFormat="false" ht="15" hidden="false" customHeight="false" outlineLevel="0" collapsed="false">
      <c r="A204" s="28" t="s">
        <v>2871</v>
      </c>
      <c r="B204" s="28" t="s">
        <v>2209</v>
      </c>
      <c r="C204" s="28" t="s">
        <v>2210</v>
      </c>
      <c r="D204" s="28"/>
      <c r="E204" s="28"/>
      <c r="F204" s="28"/>
      <c r="G204" s="28" t="s">
        <v>745</v>
      </c>
      <c r="H204" s="28" t="s">
        <v>2867</v>
      </c>
      <c r="I204" s="28" t="s">
        <v>2220</v>
      </c>
      <c r="J204" s="39" t="s">
        <v>2868</v>
      </c>
      <c r="K204" s="28" t="s">
        <v>2869</v>
      </c>
      <c r="L204" s="28" t="s">
        <v>2872</v>
      </c>
      <c r="M204" s="28" t="s">
        <v>121</v>
      </c>
      <c r="N204" s="28" t="s">
        <v>201</v>
      </c>
      <c r="O204" s="28"/>
      <c r="P204" s="28" t="s">
        <v>101</v>
      </c>
      <c r="Q204" s="28"/>
      <c r="R204" s="28"/>
    </row>
    <row r="205" customFormat="false" ht="15" hidden="false" customHeight="false" outlineLevel="0" collapsed="false">
      <c r="A205" s="28" t="s">
        <v>2873</v>
      </c>
      <c r="B205" s="28" t="s">
        <v>2209</v>
      </c>
      <c r="C205" s="28" t="s">
        <v>2210</v>
      </c>
      <c r="D205" s="28"/>
      <c r="E205" s="28"/>
      <c r="F205" s="28"/>
      <c r="G205" s="28" t="s">
        <v>745</v>
      </c>
      <c r="H205" s="28" t="s">
        <v>2874</v>
      </c>
      <c r="I205" s="28" t="s">
        <v>2217</v>
      </c>
      <c r="J205" s="39" t="s">
        <v>2875</v>
      </c>
      <c r="K205" s="28" t="s">
        <v>2876</v>
      </c>
      <c r="L205" s="28" t="s">
        <v>2877</v>
      </c>
      <c r="M205" s="28" t="s">
        <v>99</v>
      </c>
      <c r="N205" s="28" t="s">
        <v>201</v>
      </c>
      <c r="O205" s="28"/>
      <c r="P205" s="28" t="s">
        <v>101</v>
      </c>
      <c r="Q205" s="28"/>
      <c r="R205" s="28"/>
    </row>
    <row r="206" customFormat="false" ht="15" hidden="false" customHeight="false" outlineLevel="0" collapsed="false">
      <c r="A206" s="28" t="s">
        <v>2878</v>
      </c>
      <c r="B206" s="28" t="s">
        <v>2209</v>
      </c>
      <c r="C206" s="28" t="s">
        <v>2210</v>
      </c>
      <c r="D206" s="28"/>
      <c r="E206" s="28"/>
      <c r="F206" s="28"/>
      <c r="G206" s="28" t="s">
        <v>745</v>
      </c>
      <c r="H206" s="28" t="s">
        <v>2874</v>
      </c>
      <c r="I206" s="28" t="s">
        <v>2220</v>
      </c>
      <c r="J206" s="39" t="s">
        <v>2875</v>
      </c>
      <c r="K206" s="28" t="s">
        <v>2876</v>
      </c>
      <c r="L206" s="28" t="s">
        <v>2879</v>
      </c>
      <c r="M206" s="28" t="s">
        <v>121</v>
      </c>
      <c r="N206" s="28" t="s">
        <v>201</v>
      </c>
      <c r="O206" s="28"/>
      <c r="P206" s="28" t="s">
        <v>101</v>
      </c>
      <c r="Q206" s="28"/>
      <c r="R206" s="28"/>
    </row>
    <row r="207" customFormat="false" ht="15" hidden="false" customHeight="false" outlineLevel="0" collapsed="false">
      <c r="A207" s="28" t="s">
        <v>2880</v>
      </c>
      <c r="B207" s="28" t="s">
        <v>2209</v>
      </c>
      <c r="C207" s="28" t="s">
        <v>2210</v>
      </c>
      <c r="D207" s="28"/>
      <c r="E207" s="28"/>
      <c r="F207" s="28"/>
      <c r="G207" s="28" t="s">
        <v>745</v>
      </c>
      <c r="H207" s="28" t="s">
        <v>2881</v>
      </c>
      <c r="I207" s="28" t="s">
        <v>2211</v>
      </c>
      <c r="J207" s="39" t="s">
        <v>2882</v>
      </c>
      <c r="K207" s="28" t="s">
        <v>2883</v>
      </c>
      <c r="L207" s="39" t="s">
        <v>2884</v>
      </c>
      <c r="M207" s="28" t="s">
        <v>111</v>
      </c>
      <c r="N207" s="28" t="s">
        <v>201</v>
      </c>
      <c r="O207" s="28"/>
      <c r="P207" s="28" t="s">
        <v>101</v>
      </c>
      <c r="Q207" s="28"/>
      <c r="R207" s="28"/>
    </row>
    <row r="208" customFormat="false" ht="15" hidden="false" customHeight="false" outlineLevel="0" collapsed="false">
      <c r="A208" s="28" t="s">
        <v>2885</v>
      </c>
      <c r="B208" s="28" t="s">
        <v>2209</v>
      </c>
      <c r="C208" s="28" t="s">
        <v>2210</v>
      </c>
      <c r="D208" s="28"/>
      <c r="E208" s="28"/>
      <c r="F208" s="28"/>
      <c r="G208" s="28" t="s">
        <v>745</v>
      </c>
      <c r="H208" s="28" t="s">
        <v>2886</v>
      </c>
      <c r="I208" s="28" t="s">
        <v>2251</v>
      </c>
      <c r="J208" s="39" t="s">
        <v>2882</v>
      </c>
      <c r="K208" s="28" t="s">
        <v>2883</v>
      </c>
      <c r="L208" s="28" t="s">
        <v>2887</v>
      </c>
      <c r="M208" s="28" t="s">
        <v>111</v>
      </c>
      <c r="N208" s="28" t="s">
        <v>201</v>
      </c>
      <c r="O208" s="28"/>
      <c r="P208" s="28" t="s">
        <v>101</v>
      </c>
      <c r="Q208" s="28"/>
      <c r="R208" s="28"/>
    </row>
    <row r="209" customFormat="false" ht="15" hidden="false" customHeight="false" outlineLevel="0" collapsed="false">
      <c r="A209" s="28" t="s">
        <v>2888</v>
      </c>
      <c r="B209" s="28" t="s">
        <v>2209</v>
      </c>
      <c r="C209" s="28" t="s">
        <v>2210</v>
      </c>
      <c r="D209" s="28"/>
      <c r="E209" s="28"/>
      <c r="F209" s="28"/>
      <c r="G209" s="28" t="s">
        <v>745</v>
      </c>
      <c r="H209" s="28" t="s">
        <v>2881</v>
      </c>
      <c r="I209" s="28" t="s">
        <v>2251</v>
      </c>
      <c r="J209" s="39" t="s">
        <v>2882</v>
      </c>
      <c r="K209" s="28" t="s">
        <v>2883</v>
      </c>
      <c r="L209" s="28" t="s">
        <v>2889</v>
      </c>
      <c r="M209" s="28" t="s">
        <v>111</v>
      </c>
      <c r="N209" s="28" t="s">
        <v>201</v>
      </c>
      <c r="O209" s="28"/>
      <c r="P209" s="28" t="s">
        <v>101</v>
      </c>
      <c r="Q209" s="28"/>
      <c r="R209" s="28"/>
    </row>
    <row r="210" customFormat="false" ht="15" hidden="false" customHeight="false" outlineLevel="0" collapsed="false">
      <c r="A210" s="28" t="s">
        <v>2890</v>
      </c>
      <c r="B210" s="28" t="s">
        <v>2209</v>
      </c>
      <c r="C210" s="28" t="s">
        <v>2210</v>
      </c>
      <c r="D210" s="28"/>
      <c r="E210" s="28"/>
      <c r="F210" s="28"/>
      <c r="G210" s="28" t="s">
        <v>745</v>
      </c>
      <c r="H210" s="28" t="s">
        <v>2881</v>
      </c>
      <c r="I210" s="28" t="s">
        <v>2251</v>
      </c>
      <c r="J210" s="39" t="s">
        <v>2882</v>
      </c>
      <c r="K210" s="28" t="s">
        <v>2883</v>
      </c>
      <c r="L210" s="28" t="s">
        <v>2891</v>
      </c>
      <c r="M210" s="28" t="s">
        <v>111</v>
      </c>
      <c r="N210" s="28" t="s">
        <v>201</v>
      </c>
      <c r="O210" s="28"/>
      <c r="P210" s="28" t="s">
        <v>101</v>
      </c>
      <c r="Q210" s="28"/>
      <c r="R210" s="28"/>
    </row>
    <row r="211" customFormat="false" ht="15" hidden="false" customHeight="false" outlineLevel="0" collapsed="false">
      <c r="A211" s="28" t="s">
        <v>2892</v>
      </c>
      <c r="B211" s="28" t="s">
        <v>2209</v>
      </c>
      <c r="C211" s="28" t="s">
        <v>2210</v>
      </c>
      <c r="D211" s="28"/>
      <c r="E211" s="28"/>
      <c r="F211" s="28"/>
      <c r="G211" s="28" t="s">
        <v>745</v>
      </c>
      <c r="H211" s="28" t="s">
        <v>2881</v>
      </c>
      <c r="I211" s="28" t="s">
        <v>2251</v>
      </c>
      <c r="J211" s="39" t="s">
        <v>2882</v>
      </c>
      <c r="K211" s="28" t="s">
        <v>2883</v>
      </c>
      <c r="L211" s="28" t="s">
        <v>2893</v>
      </c>
      <c r="M211" s="28" t="s">
        <v>111</v>
      </c>
      <c r="N211" s="28" t="s">
        <v>201</v>
      </c>
      <c r="O211" s="28"/>
      <c r="P211" s="28" t="s">
        <v>101</v>
      </c>
      <c r="Q211" s="28"/>
      <c r="R211" s="28"/>
    </row>
    <row r="212" customFormat="false" ht="15" hidden="false" customHeight="false" outlineLevel="0" collapsed="false">
      <c r="A212" s="28" t="s">
        <v>2894</v>
      </c>
      <c r="B212" s="28" t="s">
        <v>2209</v>
      </c>
      <c r="C212" s="28" t="s">
        <v>2210</v>
      </c>
      <c r="D212" s="28"/>
      <c r="E212" s="28"/>
      <c r="F212" s="28"/>
      <c r="G212" s="28" t="s">
        <v>745</v>
      </c>
      <c r="H212" s="28" t="s">
        <v>2881</v>
      </c>
      <c r="I212" s="28" t="s">
        <v>2251</v>
      </c>
      <c r="J212" s="39" t="s">
        <v>2882</v>
      </c>
      <c r="K212" s="28" t="s">
        <v>2883</v>
      </c>
      <c r="L212" s="28" t="s">
        <v>2895</v>
      </c>
      <c r="M212" s="28" t="s">
        <v>111</v>
      </c>
      <c r="N212" s="28" t="s">
        <v>201</v>
      </c>
      <c r="O212" s="28"/>
      <c r="P212" s="28" t="s">
        <v>101</v>
      </c>
      <c r="Q212" s="28"/>
      <c r="R212" s="28"/>
    </row>
    <row r="213" customFormat="false" ht="15" hidden="false" customHeight="false" outlineLevel="0" collapsed="false">
      <c r="A213" s="28" t="s">
        <v>2896</v>
      </c>
      <c r="B213" s="28" t="s">
        <v>2209</v>
      </c>
      <c r="C213" s="28" t="s">
        <v>2210</v>
      </c>
      <c r="D213" s="28"/>
      <c r="E213" s="28"/>
      <c r="F213" s="28"/>
      <c r="G213" s="28" t="s">
        <v>745</v>
      </c>
      <c r="H213" s="28" t="s">
        <v>2881</v>
      </c>
      <c r="I213" s="28" t="s">
        <v>2251</v>
      </c>
      <c r="J213" s="39" t="s">
        <v>2882</v>
      </c>
      <c r="K213" s="28" t="s">
        <v>2883</v>
      </c>
      <c r="L213" s="28" t="s">
        <v>2897</v>
      </c>
      <c r="M213" s="28" t="s">
        <v>111</v>
      </c>
      <c r="N213" s="28" t="s">
        <v>201</v>
      </c>
      <c r="O213" s="28"/>
      <c r="P213" s="28" t="s">
        <v>101</v>
      </c>
      <c r="Q213" s="28"/>
      <c r="R213" s="28"/>
    </row>
    <row r="214" customFormat="false" ht="15" hidden="false" customHeight="false" outlineLevel="0" collapsed="false">
      <c r="A214" s="28" t="s">
        <v>2898</v>
      </c>
      <c r="B214" s="28" t="s">
        <v>2209</v>
      </c>
      <c r="C214" s="28" t="s">
        <v>2210</v>
      </c>
      <c r="D214" s="28"/>
      <c r="E214" s="28"/>
      <c r="F214" s="28"/>
      <c r="G214" s="28" t="s">
        <v>745</v>
      </c>
      <c r="H214" s="28" t="s">
        <v>2881</v>
      </c>
      <c r="I214" s="28" t="s">
        <v>2220</v>
      </c>
      <c r="J214" s="39" t="s">
        <v>2882</v>
      </c>
      <c r="K214" s="28" t="s">
        <v>2883</v>
      </c>
      <c r="L214" s="28" t="s">
        <v>2899</v>
      </c>
      <c r="M214" s="28" t="s">
        <v>121</v>
      </c>
      <c r="N214" s="28" t="s">
        <v>201</v>
      </c>
      <c r="O214" s="28"/>
      <c r="P214" s="28" t="s">
        <v>101</v>
      </c>
      <c r="Q214" s="28"/>
      <c r="R214" s="28"/>
    </row>
    <row r="215" customFormat="false" ht="15" hidden="false" customHeight="false" outlineLevel="0" collapsed="false">
      <c r="A215" s="28" t="s">
        <v>2900</v>
      </c>
      <c r="B215" s="28" t="s">
        <v>2209</v>
      </c>
      <c r="C215" s="28" t="s">
        <v>2210</v>
      </c>
      <c r="D215" s="28"/>
      <c r="E215" s="28"/>
      <c r="F215" s="28"/>
      <c r="G215" s="28" t="s">
        <v>745</v>
      </c>
      <c r="H215" s="28" t="s">
        <v>2881</v>
      </c>
      <c r="I215" s="28" t="s">
        <v>2220</v>
      </c>
      <c r="J215" s="39" t="s">
        <v>2882</v>
      </c>
      <c r="K215" s="28" t="s">
        <v>2883</v>
      </c>
      <c r="L215" s="28" t="s">
        <v>2901</v>
      </c>
      <c r="M215" s="28" t="s">
        <v>121</v>
      </c>
      <c r="N215" s="28" t="s">
        <v>201</v>
      </c>
      <c r="O215" s="28"/>
      <c r="P215" s="28" t="s">
        <v>101</v>
      </c>
      <c r="Q215" s="28"/>
      <c r="R215" s="28"/>
    </row>
    <row r="216" customFormat="false" ht="15" hidden="false" customHeight="false" outlineLevel="0" collapsed="false">
      <c r="A216" s="28" t="s">
        <v>2902</v>
      </c>
      <c r="B216" s="28" t="s">
        <v>2209</v>
      </c>
      <c r="C216" s="28" t="s">
        <v>2210</v>
      </c>
      <c r="D216" s="28"/>
      <c r="E216" s="28"/>
      <c r="F216" s="28"/>
      <c r="G216" s="28" t="s">
        <v>745</v>
      </c>
      <c r="H216" s="28" t="s">
        <v>2881</v>
      </c>
      <c r="I216" s="28" t="s">
        <v>2220</v>
      </c>
      <c r="J216" s="39" t="s">
        <v>2882</v>
      </c>
      <c r="K216" s="28" t="s">
        <v>2883</v>
      </c>
      <c r="L216" s="28" t="s">
        <v>2903</v>
      </c>
      <c r="M216" s="28" t="s">
        <v>121</v>
      </c>
      <c r="N216" s="28" t="s">
        <v>201</v>
      </c>
      <c r="O216" s="28"/>
      <c r="P216" s="28" t="s">
        <v>101</v>
      </c>
      <c r="Q216" s="28"/>
      <c r="R216" s="28"/>
    </row>
    <row r="217" customFormat="false" ht="15" hidden="false" customHeight="false" outlineLevel="0" collapsed="false">
      <c r="A217" s="28" t="s">
        <v>2904</v>
      </c>
      <c r="B217" s="28" t="s">
        <v>2209</v>
      </c>
      <c r="C217" s="28" t="s">
        <v>2210</v>
      </c>
      <c r="D217" s="28"/>
      <c r="E217" s="28"/>
      <c r="F217" s="28"/>
      <c r="G217" s="28" t="s">
        <v>745</v>
      </c>
      <c r="H217" s="28" t="s">
        <v>2881</v>
      </c>
      <c r="I217" s="28" t="s">
        <v>2220</v>
      </c>
      <c r="J217" s="39" t="s">
        <v>2882</v>
      </c>
      <c r="K217" s="28" t="s">
        <v>2883</v>
      </c>
      <c r="L217" s="28" t="s">
        <v>2905</v>
      </c>
      <c r="M217" s="28" t="s">
        <v>121</v>
      </c>
      <c r="N217" s="28" t="s">
        <v>201</v>
      </c>
      <c r="O217" s="28"/>
      <c r="P217" s="28" t="s">
        <v>101</v>
      </c>
      <c r="Q217" s="28"/>
      <c r="R217" s="28"/>
    </row>
    <row r="218" customFormat="false" ht="15" hidden="false" customHeight="false" outlineLevel="0" collapsed="false">
      <c r="A218" s="28" t="s">
        <v>2906</v>
      </c>
      <c r="B218" s="28" t="s">
        <v>2209</v>
      </c>
      <c r="C218" s="28" t="s">
        <v>2210</v>
      </c>
      <c r="D218" s="28"/>
      <c r="E218" s="28"/>
      <c r="F218" s="28"/>
      <c r="G218" s="28" t="s">
        <v>745</v>
      </c>
      <c r="H218" s="28" t="s">
        <v>2881</v>
      </c>
      <c r="I218" s="28" t="s">
        <v>2220</v>
      </c>
      <c r="J218" s="39" t="s">
        <v>2882</v>
      </c>
      <c r="K218" s="28" t="s">
        <v>2883</v>
      </c>
      <c r="L218" s="28" t="s">
        <v>2907</v>
      </c>
      <c r="M218" s="28" t="s">
        <v>121</v>
      </c>
      <c r="N218" s="28" t="s">
        <v>201</v>
      </c>
      <c r="O218" s="28"/>
      <c r="P218" s="28" t="s">
        <v>101</v>
      </c>
      <c r="Q218" s="28"/>
      <c r="R218" s="28"/>
    </row>
    <row r="219" customFormat="false" ht="15" hidden="false" customHeight="false" outlineLevel="0" collapsed="false">
      <c r="A219" s="28" t="s">
        <v>2908</v>
      </c>
      <c r="B219" s="28" t="s">
        <v>2209</v>
      </c>
      <c r="C219" s="28" t="s">
        <v>2210</v>
      </c>
      <c r="D219" s="28"/>
      <c r="E219" s="28"/>
      <c r="F219" s="28"/>
      <c r="G219" s="28" t="s">
        <v>745</v>
      </c>
      <c r="H219" s="28" t="s">
        <v>2881</v>
      </c>
      <c r="I219" s="28" t="s">
        <v>2220</v>
      </c>
      <c r="J219" s="39" t="s">
        <v>2882</v>
      </c>
      <c r="K219" s="28" t="s">
        <v>2883</v>
      </c>
      <c r="L219" s="28" t="s">
        <v>2909</v>
      </c>
      <c r="M219" s="28" t="s">
        <v>121</v>
      </c>
      <c r="N219" s="28" t="s">
        <v>201</v>
      </c>
      <c r="O219" s="28"/>
      <c r="P219" s="28" t="s">
        <v>101</v>
      </c>
      <c r="Q219" s="28"/>
      <c r="R219" s="28"/>
    </row>
    <row r="220" customFormat="false" ht="15" hidden="false" customHeight="false" outlineLevel="0" collapsed="false">
      <c r="A220" s="28" t="s">
        <v>2910</v>
      </c>
      <c r="B220" s="28" t="s">
        <v>2209</v>
      </c>
      <c r="C220" s="28" t="s">
        <v>2210</v>
      </c>
      <c r="D220" s="28"/>
      <c r="E220" s="28"/>
      <c r="F220" s="28"/>
      <c r="G220" s="28" t="s">
        <v>745</v>
      </c>
      <c r="H220" s="28" t="s">
        <v>2881</v>
      </c>
      <c r="I220" s="28" t="s">
        <v>2220</v>
      </c>
      <c r="J220" s="39" t="s">
        <v>2882</v>
      </c>
      <c r="K220" s="28" t="s">
        <v>2883</v>
      </c>
      <c r="L220" s="28" t="s">
        <v>2911</v>
      </c>
      <c r="M220" s="28" t="s">
        <v>121</v>
      </c>
      <c r="N220" s="28" t="s">
        <v>201</v>
      </c>
      <c r="O220" s="28"/>
      <c r="P220" s="28" t="s">
        <v>101</v>
      </c>
      <c r="Q220" s="28"/>
      <c r="R220" s="28"/>
    </row>
    <row r="221" customFormat="false" ht="15" hidden="false" customHeight="false" outlineLevel="0" collapsed="false">
      <c r="A221" s="28" t="s">
        <v>2912</v>
      </c>
      <c r="B221" s="28" t="s">
        <v>2209</v>
      </c>
      <c r="C221" s="28" t="s">
        <v>2210</v>
      </c>
      <c r="D221" s="28"/>
      <c r="E221" s="28"/>
      <c r="F221" s="28"/>
      <c r="G221" s="28" t="s">
        <v>745</v>
      </c>
      <c r="H221" s="28" t="s">
        <v>2881</v>
      </c>
      <c r="I221" s="28" t="s">
        <v>2220</v>
      </c>
      <c r="J221" s="39" t="s">
        <v>2882</v>
      </c>
      <c r="K221" s="28" t="s">
        <v>2883</v>
      </c>
      <c r="L221" s="28" t="s">
        <v>2913</v>
      </c>
      <c r="M221" s="28" t="s">
        <v>121</v>
      </c>
      <c r="N221" s="28" t="s">
        <v>201</v>
      </c>
      <c r="O221" s="28"/>
      <c r="P221" s="28" t="s">
        <v>101</v>
      </c>
      <c r="Q221" s="28"/>
      <c r="R221" s="28"/>
    </row>
    <row r="222" customFormat="false" ht="15" hidden="false" customHeight="false" outlineLevel="0" collapsed="false">
      <c r="A222" s="28" t="s">
        <v>2914</v>
      </c>
      <c r="B222" s="28" t="s">
        <v>2209</v>
      </c>
      <c r="C222" s="28" t="s">
        <v>2210</v>
      </c>
      <c r="D222" s="28"/>
      <c r="E222" s="28"/>
      <c r="F222" s="28"/>
      <c r="G222" s="28" t="s">
        <v>745</v>
      </c>
      <c r="H222" s="28" t="s">
        <v>2881</v>
      </c>
      <c r="I222" s="28" t="s">
        <v>2220</v>
      </c>
      <c r="J222" s="39" t="s">
        <v>2882</v>
      </c>
      <c r="K222" s="28" t="s">
        <v>2883</v>
      </c>
      <c r="L222" s="28" t="s">
        <v>2915</v>
      </c>
      <c r="M222" s="28" t="s">
        <v>121</v>
      </c>
      <c r="N222" s="28" t="s">
        <v>201</v>
      </c>
      <c r="O222" s="28"/>
      <c r="P222" s="28" t="s">
        <v>101</v>
      </c>
      <c r="Q222" s="28"/>
      <c r="R222" s="28"/>
    </row>
    <row r="223" customFormat="false" ht="15" hidden="false" customHeight="false" outlineLevel="0" collapsed="false">
      <c r="A223" s="28" t="s">
        <v>2916</v>
      </c>
      <c r="B223" s="28" t="s">
        <v>2209</v>
      </c>
      <c r="C223" s="28" t="s">
        <v>2210</v>
      </c>
      <c r="D223" s="28"/>
      <c r="E223" s="28"/>
      <c r="F223" s="28"/>
      <c r="G223" s="28" t="s">
        <v>745</v>
      </c>
      <c r="H223" s="28" t="s">
        <v>2881</v>
      </c>
      <c r="I223" s="28" t="s">
        <v>2220</v>
      </c>
      <c r="J223" s="39" t="s">
        <v>2882</v>
      </c>
      <c r="K223" s="28" t="s">
        <v>2883</v>
      </c>
      <c r="L223" s="28" t="s">
        <v>2917</v>
      </c>
      <c r="M223" s="28" t="s">
        <v>121</v>
      </c>
      <c r="N223" s="28" t="s">
        <v>201</v>
      </c>
      <c r="O223" s="28"/>
      <c r="P223" s="28" t="s">
        <v>101</v>
      </c>
      <c r="Q223" s="28"/>
      <c r="R223" s="28"/>
    </row>
    <row r="224" customFormat="false" ht="15" hidden="false" customHeight="false" outlineLevel="0" collapsed="false">
      <c r="A224" s="28" t="s">
        <v>2918</v>
      </c>
      <c r="B224" s="28" t="s">
        <v>2209</v>
      </c>
      <c r="C224" s="28" t="s">
        <v>2210</v>
      </c>
      <c r="D224" s="28"/>
      <c r="E224" s="28"/>
      <c r="F224" s="28"/>
      <c r="G224" s="28" t="s">
        <v>745</v>
      </c>
      <c r="H224" s="28" t="s">
        <v>2919</v>
      </c>
      <c r="I224" s="28" t="s">
        <v>2220</v>
      </c>
      <c r="J224" s="39" t="s">
        <v>2920</v>
      </c>
      <c r="K224" s="28" t="s">
        <v>2921</v>
      </c>
      <c r="L224" s="28" t="s">
        <v>2922</v>
      </c>
      <c r="M224" s="28" t="s">
        <v>121</v>
      </c>
      <c r="N224" s="28" t="s">
        <v>201</v>
      </c>
      <c r="O224" s="28"/>
      <c r="P224" s="28" t="s">
        <v>101</v>
      </c>
      <c r="Q224" s="28"/>
      <c r="R224" s="28"/>
    </row>
    <row r="225" customFormat="false" ht="15" hidden="false" customHeight="false" outlineLevel="0" collapsed="false">
      <c r="A225" s="28" t="s">
        <v>2923</v>
      </c>
      <c r="B225" s="28" t="s">
        <v>2209</v>
      </c>
      <c r="C225" s="28" t="s">
        <v>2210</v>
      </c>
      <c r="D225" s="28"/>
      <c r="E225" s="28"/>
      <c r="F225" s="28"/>
      <c r="G225" s="28" t="s">
        <v>745</v>
      </c>
      <c r="H225" s="28" t="s">
        <v>2924</v>
      </c>
      <c r="I225" s="28" t="s">
        <v>2211</v>
      </c>
      <c r="J225" s="39" t="s">
        <v>2925</v>
      </c>
      <c r="K225" s="28" t="s">
        <v>2926</v>
      </c>
      <c r="L225" s="39" t="s">
        <v>2927</v>
      </c>
      <c r="M225" s="28" t="s">
        <v>111</v>
      </c>
      <c r="N225" s="28" t="s">
        <v>201</v>
      </c>
      <c r="O225" s="28"/>
      <c r="P225" s="28" t="s">
        <v>101</v>
      </c>
      <c r="Q225" s="28"/>
      <c r="R225" s="28"/>
    </row>
    <row r="226" customFormat="false" ht="15" hidden="false" customHeight="false" outlineLevel="0" collapsed="false">
      <c r="A226" s="28" t="s">
        <v>2928</v>
      </c>
      <c r="B226" s="28" t="s">
        <v>2209</v>
      </c>
      <c r="C226" s="28" t="s">
        <v>2210</v>
      </c>
      <c r="D226" s="28"/>
      <c r="E226" s="28"/>
      <c r="F226" s="28"/>
      <c r="G226" s="28" t="s">
        <v>745</v>
      </c>
      <c r="H226" s="28" t="s">
        <v>2924</v>
      </c>
      <c r="I226" s="28" t="s">
        <v>2251</v>
      </c>
      <c r="J226" s="39" t="s">
        <v>2925</v>
      </c>
      <c r="K226" s="28" t="s">
        <v>2926</v>
      </c>
      <c r="L226" s="28" t="s">
        <v>2929</v>
      </c>
      <c r="M226" s="28" t="s">
        <v>111</v>
      </c>
      <c r="N226" s="28" t="s">
        <v>201</v>
      </c>
      <c r="O226" s="28"/>
      <c r="P226" s="28" t="s">
        <v>101</v>
      </c>
      <c r="Q226" s="28"/>
      <c r="R226" s="28"/>
    </row>
    <row r="227" customFormat="false" ht="15" hidden="false" customHeight="false" outlineLevel="0" collapsed="false">
      <c r="A227" s="28" t="s">
        <v>2930</v>
      </c>
      <c r="B227" s="28" t="s">
        <v>2209</v>
      </c>
      <c r="C227" s="28" t="s">
        <v>2210</v>
      </c>
      <c r="D227" s="28"/>
      <c r="E227" s="28"/>
      <c r="F227" s="28"/>
      <c r="G227" s="28" t="s">
        <v>745</v>
      </c>
      <c r="H227" s="28" t="s">
        <v>2924</v>
      </c>
      <c r="I227" s="28" t="s">
        <v>2251</v>
      </c>
      <c r="J227" s="39" t="s">
        <v>2925</v>
      </c>
      <c r="K227" s="28" t="s">
        <v>2926</v>
      </c>
      <c r="L227" s="28" t="s">
        <v>2931</v>
      </c>
      <c r="M227" s="28" t="s">
        <v>111</v>
      </c>
      <c r="N227" s="28" t="s">
        <v>201</v>
      </c>
      <c r="O227" s="28"/>
      <c r="P227" s="28" t="s">
        <v>101</v>
      </c>
      <c r="Q227" s="28"/>
      <c r="R227" s="28"/>
    </row>
    <row r="228" customFormat="false" ht="15" hidden="false" customHeight="false" outlineLevel="0" collapsed="false">
      <c r="A228" s="28" t="s">
        <v>2932</v>
      </c>
      <c r="B228" s="28" t="s">
        <v>2209</v>
      </c>
      <c r="C228" s="28" t="s">
        <v>2210</v>
      </c>
      <c r="D228" s="28"/>
      <c r="E228" s="28"/>
      <c r="F228" s="28"/>
      <c r="G228" s="28" t="s">
        <v>745</v>
      </c>
      <c r="H228" s="28" t="s">
        <v>2924</v>
      </c>
      <c r="I228" s="28" t="s">
        <v>2251</v>
      </c>
      <c r="J228" s="39" t="s">
        <v>2925</v>
      </c>
      <c r="K228" s="28" t="s">
        <v>2926</v>
      </c>
      <c r="L228" s="28" t="s">
        <v>2933</v>
      </c>
      <c r="M228" s="28" t="s">
        <v>111</v>
      </c>
      <c r="N228" s="28" t="s">
        <v>201</v>
      </c>
      <c r="O228" s="28"/>
      <c r="P228" s="28" t="s">
        <v>101</v>
      </c>
      <c r="Q228" s="28"/>
      <c r="R228" s="28"/>
    </row>
    <row r="229" customFormat="false" ht="15" hidden="false" customHeight="false" outlineLevel="0" collapsed="false">
      <c r="A229" s="28" t="s">
        <v>2934</v>
      </c>
      <c r="B229" s="28" t="s">
        <v>2209</v>
      </c>
      <c r="C229" s="28" t="s">
        <v>2210</v>
      </c>
      <c r="D229" s="28"/>
      <c r="E229" s="28"/>
      <c r="F229" s="28"/>
      <c r="G229" s="28" t="s">
        <v>745</v>
      </c>
      <c r="H229" s="28" t="s">
        <v>2924</v>
      </c>
      <c r="I229" s="28" t="s">
        <v>2220</v>
      </c>
      <c r="J229" s="39" t="s">
        <v>2925</v>
      </c>
      <c r="K229" s="28" t="s">
        <v>2926</v>
      </c>
      <c r="L229" s="28" t="s">
        <v>2935</v>
      </c>
      <c r="M229" s="28" t="s">
        <v>121</v>
      </c>
      <c r="N229" s="28" t="s">
        <v>201</v>
      </c>
      <c r="O229" s="28"/>
      <c r="P229" s="28" t="s">
        <v>101</v>
      </c>
      <c r="Q229" s="28"/>
      <c r="R229" s="28"/>
    </row>
    <row r="230" customFormat="false" ht="15" hidden="false" customHeight="false" outlineLevel="0" collapsed="false">
      <c r="A230" s="28" t="s">
        <v>2936</v>
      </c>
      <c r="B230" s="28" t="s">
        <v>2209</v>
      </c>
      <c r="C230" s="28" t="s">
        <v>2210</v>
      </c>
      <c r="D230" s="28"/>
      <c r="E230" s="28"/>
      <c r="F230" s="28"/>
      <c r="G230" s="28" t="s">
        <v>745</v>
      </c>
      <c r="H230" s="28" t="s">
        <v>2924</v>
      </c>
      <c r="I230" s="28" t="s">
        <v>2220</v>
      </c>
      <c r="J230" s="39" t="s">
        <v>2925</v>
      </c>
      <c r="K230" s="28" t="s">
        <v>2926</v>
      </c>
      <c r="L230" s="28" t="s">
        <v>2937</v>
      </c>
      <c r="M230" s="28" t="s">
        <v>121</v>
      </c>
      <c r="N230" s="28" t="s">
        <v>201</v>
      </c>
      <c r="O230" s="28"/>
      <c r="P230" s="28" t="s">
        <v>101</v>
      </c>
      <c r="Q230" s="28"/>
      <c r="R230" s="28"/>
    </row>
    <row r="231" customFormat="false" ht="15" hidden="false" customHeight="false" outlineLevel="0" collapsed="false">
      <c r="A231" s="28" t="s">
        <v>2938</v>
      </c>
      <c r="B231" s="28" t="s">
        <v>2209</v>
      </c>
      <c r="C231" s="28" t="s">
        <v>2210</v>
      </c>
      <c r="D231" s="28"/>
      <c r="E231" s="28"/>
      <c r="F231" s="28"/>
      <c r="G231" s="28" t="s">
        <v>745</v>
      </c>
      <c r="H231" s="28" t="s">
        <v>2924</v>
      </c>
      <c r="I231" s="28" t="s">
        <v>2220</v>
      </c>
      <c r="J231" s="39" t="s">
        <v>2925</v>
      </c>
      <c r="K231" s="28" t="s">
        <v>2926</v>
      </c>
      <c r="L231" s="28" t="s">
        <v>2939</v>
      </c>
      <c r="M231" s="28" t="s">
        <v>121</v>
      </c>
      <c r="N231" s="28" t="s">
        <v>201</v>
      </c>
      <c r="O231" s="28"/>
      <c r="P231" s="28" t="s">
        <v>101</v>
      </c>
      <c r="Q231" s="28"/>
      <c r="R231" s="28"/>
    </row>
    <row r="232" customFormat="false" ht="15" hidden="false" customHeight="false" outlineLevel="0" collapsed="false">
      <c r="A232" s="28" t="s">
        <v>2940</v>
      </c>
      <c r="B232" s="28" t="s">
        <v>2209</v>
      </c>
      <c r="C232" s="28" t="s">
        <v>2210</v>
      </c>
      <c r="D232" s="28"/>
      <c r="E232" s="28"/>
      <c r="F232" s="28"/>
      <c r="G232" s="28" t="s">
        <v>745</v>
      </c>
      <c r="H232" s="28" t="s">
        <v>2941</v>
      </c>
      <c r="I232" s="28" t="s">
        <v>2220</v>
      </c>
      <c r="J232" s="39" t="s">
        <v>2942</v>
      </c>
      <c r="K232" s="28" t="s">
        <v>2943</v>
      </c>
      <c r="L232" s="28" t="s">
        <v>2944</v>
      </c>
      <c r="M232" s="28" t="s">
        <v>121</v>
      </c>
      <c r="N232" s="28" t="s">
        <v>201</v>
      </c>
      <c r="O232" s="28"/>
      <c r="P232" s="28" t="s">
        <v>101</v>
      </c>
      <c r="Q232" s="28"/>
      <c r="R232" s="28"/>
    </row>
    <row r="233" customFormat="false" ht="15" hidden="false" customHeight="false" outlineLevel="0" collapsed="false">
      <c r="A233" s="28" t="s">
        <v>2945</v>
      </c>
      <c r="B233" s="28" t="s">
        <v>2209</v>
      </c>
      <c r="C233" s="28" t="s">
        <v>2210</v>
      </c>
      <c r="D233" s="28"/>
      <c r="E233" s="28"/>
      <c r="F233" s="28"/>
      <c r="G233" s="28" t="s">
        <v>745</v>
      </c>
      <c r="H233" s="28" t="s">
        <v>2946</v>
      </c>
      <c r="I233" s="28" t="s">
        <v>2220</v>
      </c>
      <c r="J233" s="28" t="s">
        <v>2947</v>
      </c>
      <c r="K233" s="28" t="s">
        <v>2948</v>
      </c>
      <c r="L233" s="28" t="s">
        <v>2949</v>
      </c>
      <c r="M233" s="28" t="s">
        <v>121</v>
      </c>
      <c r="N233" s="28" t="s">
        <v>201</v>
      </c>
      <c r="O233" s="28"/>
      <c r="P233" s="28" t="s">
        <v>101</v>
      </c>
      <c r="Q233" s="28"/>
      <c r="R233" s="28"/>
    </row>
    <row r="234" customFormat="false" ht="15" hidden="false" customHeight="false" outlineLevel="0" collapsed="false">
      <c r="A234" s="28" t="s">
        <v>2950</v>
      </c>
      <c r="B234" s="28" t="s">
        <v>2209</v>
      </c>
      <c r="C234" s="28" t="s">
        <v>2210</v>
      </c>
      <c r="D234" s="28"/>
      <c r="E234" s="28"/>
      <c r="F234" s="28"/>
      <c r="G234" s="28" t="s">
        <v>745</v>
      </c>
      <c r="H234" s="28" t="s">
        <v>2951</v>
      </c>
      <c r="I234" s="28" t="s">
        <v>2211</v>
      </c>
      <c r="J234" s="28" t="s">
        <v>2952</v>
      </c>
      <c r="K234" s="28" t="s">
        <v>2953</v>
      </c>
      <c r="L234" s="28" t="s">
        <v>2954</v>
      </c>
      <c r="M234" s="28" t="s">
        <v>111</v>
      </c>
      <c r="N234" s="28" t="s">
        <v>201</v>
      </c>
      <c r="O234" s="28"/>
      <c r="P234" s="28" t="s">
        <v>101</v>
      </c>
      <c r="Q234" s="28"/>
      <c r="R234" s="28"/>
    </row>
    <row r="235" customFormat="false" ht="15" hidden="false" customHeight="false" outlineLevel="0" collapsed="false">
      <c r="A235" s="28" t="s">
        <v>2955</v>
      </c>
      <c r="B235" s="28" t="s">
        <v>2209</v>
      </c>
      <c r="C235" s="28" t="s">
        <v>2210</v>
      </c>
      <c r="D235" s="28"/>
      <c r="E235" s="28"/>
      <c r="F235" s="28"/>
      <c r="G235" s="28" t="s">
        <v>745</v>
      </c>
      <c r="H235" s="28" t="s">
        <v>2951</v>
      </c>
      <c r="I235" s="28" t="s">
        <v>2251</v>
      </c>
      <c r="J235" s="28" t="s">
        <v>2952</v>
      </c>
      <c r="K235" s="28" t="s">
        <v>2953</v>
      </c>
      <c r="L235" s="28" t="s">
        <v>2956</v>
      </c>
      <c r="M235" s="28" t="s">
        <v>111</v>
      </c>
      <c r="N235" s="28" t="s">
        <v>201</v>
      </c>
      <c r="O235" s="28"/>
      <c r="P235" s="28" t="s">
        <v>101</v>
      </c>
      <c r="Q235" s="28"/>
      <c r="R235" s="28"/>
    </row>
    <row r="236" customFormat="false" ht="15" hidden="false" customHeight="false" outlineLevel="0" collapsed="false">
      <c r="A236" s="28" t="s">
        <v>2957</v>
      </c>
      <c r="B236" s="28" t="s">
        <v>2209</v>
      </c>
      <c r="C236" s="28" t="s">
        <v>2210</v>
      </c>
      <c r="D236" s="28"/>
      <c r="E236" s="28"/>
      <c r="F236" s="28"/>
      <c r="G236" s="28" t="s">
        <v>745</v>
      </c>
      <c r="H236" s="28" t="s">
        <v>2951</v>
      </c>
      <c r="I236" s="28" t="s">
        <v>2251</v>
      </c>
      <c r="J236" s="28" t="s">
        <v>2952</v>
      </c>
      <c r="K236" s="28" t="s">
        <v>2953</v>
      </c>
      <c r="L236" s="28" t="s">
        <v>2958</v>
      </c>
      <c r="M236" s="28" t="s">
        <v>111</v>
      </c>
      <c r="N236" s="28" t="s">
        <v>201</v>
      </c>
      <c r="O236" s="28"/>
      <c r="P236" s="28" t="s">
        <v>101</v>
      </c>
      <c r="Q236" s="28"/>
      <c r="R236" s="28"/>
    </row>
    <row r="237" customFormat="false" ht="15" hidden="false" customHeight="false" outlineLevel="0" collapsed="false">
      <c r="A237" s="28" t="s">
        <v>2959</v>
      </c>
      <c r="B237" s="28" t="s">
        <v>2209</v>
      </c>
      <c r="C237" s="28" t="s">
        <v>2210</v>
      </c>
      <c r="D237" s="28"/>
      <c r="E237" s="28"/>
      <c r="F237" s="28"/>
      <c r="G237" s="28" t="s">
        <v>745</v>
      </c>
      <c r="H237" s="28" t="s">
        <v>2951</v>
      </c>
      <c r="I237" s="28" t="s">
        <v>2251</v>
      </c>
      <c r="J237" s="28" t="s">
        <v>2952</v>
      </c>
      <c r="K237" s="28" t="s">
        <v>2953</v>
      </c>
      <c r="L237" s="28" t="s">
        <v>2960</v>
      </c>
      <c r="M237" s="28" t="s">
        <v>111</v>
      </c>
      <c r="N237" s="28" t="s">
        <v>201</v>
      </c>
      <c r="O237" s="28"/>
      <c r="P237" s="28" t="s">
        <v>101</v>
      </c>
      <c r="Q237" s="28"/>
      <c r="R237" s="28"/>
    </row>
    <row r="238" customFormat="false" ht="15" hidden="false" customHeight="false" outlineLevel="0" collapsed="false">
      <c r="A238" s="28" t="s">
        <v>2961</v>
      </c>
      <c r="B238" s="28" t="s">
        <v>2209</v>
      </c>
      <c r="C238" s="28" t="s">
        <v>2210</v>
      </c>
      <c r="D238" s="28"/>
      <c r="E238" s="28"/>
      <c r="F238" s="28"/>
      <c r="G238" s="28" t="s">
        <v>745</v>
      </c>
      <c r="H238" s="28" t="s">
        <v>2951</v>
      </c>
      <c r="I238" s="28" t="s">
        <v>2251</v>
      </c>
      <c r="J238" s="28" t="s">
        <v>2952</v>
      </c>
      <c r="K238" s="28" t="s">
        <v>2953</v>
      </c>
      <c r="L238" s="28" t="s">
        <v>2962</v>
      </c>
      <c r="M238" s="28" t="s">
        <v>111</v>
      </c>
      <c r="N238" s="28" t="s">
        <v>201</v>
      </c>
      <c r="O238" s="28"/>
      <c r="P238" s="28" t="s">
        <v>101</v>
      </c>
      <c r="Q238" s="28"/>
      <c r="R238" s="28"/>
    </row>
    <row r="239" customFormat="false" ht="15" hidden="false" customHeight="false" outlineLevel="0" collapsed="false">
      <c r="A239" s="28" t="s">
        <v>2963</v>
      </c>
      <c r="B239" s="28" t="s">
        <v>2209</v>
      </c>
      <c r="C239" s="28" t="s">
        <v>2210</v>
      </c>
      <c r="D239" s="28"/>
      <c r="E239" s="28"/>
      <c r="F239" s="28"/>
      <c r="G239" s="28" t="s">
        <v>745</v>
      </c>
      <c r="H239" s="28" t="s">
        <v>2951</v>
      </c>
      <c r="I239" s="28" t="s">
        <v>2251</v>
      </c>
      <c r="J239" s="28" t="s">
        <v>2952</v>
      </c>
      <c r="K239" s="28" t="s">
        <v>2953</v>
      </c>
      <c r="L239" s="28" t="s">
        <v>2964</v>
      </c>
      <c r="M239" s="28" t="s">
        <v>111</v>
      </c>
      <c r="N239" s="28" t="s">
        <v>201</v>
      </c>
      <c r="O239" s="28"/>
      <c r="P239" s="28" t="s">
        <v>101</v>
      </c>
      <c r="Q239" s="28"/>
      <c r="R239" s="28"/>
    </row>
    <row r="240" customFormat="false" ht="15" hidden="false" customHeight="false" outlineLevel="0" collapsed="false">
      <c r="A240" s="28" t="s">
        <v>2965</v>
      </c>
      <c r="B240" s="28" t="s">
        <v>2209</v>
      </c>
      <c r="C240" s="28" t="s">
        <v>2210</v>
      </c>
      <c r="D240" s="28"/>
      <c r="E240" s="28"/>
      <c r="F240" s="28"/>
      <c r="G240" s="28" t="s">
        <v>745</v>
      </c>
      <c r="H240" s="28" t="s">
        <v>2951</v>
      </c>
      <c r="I240" s="28" t="s">
        <v>2220</v>
      </c>
      <c r="J240" s="28" t="s">
        <v>2952</v>
      </c>
      <c r="K240" s="28" t="s">
        <v>2953</v>
      </c>
      <c r="L240" s="28" t="s">
        <v>2966</v>
      </c>
      <c r="M240" s="28" t="s">
        <v>121</v>
      </c>
      <c r="N240" s="28" t="s">
        <v>201</v>
      </c>
      <c r="O240" s="28"/>
      <c r="P240" s="28" t="s">
        <v>101</v>
      </c>
      <c r="Q240" s="28"/>
      <c r="R240" s="28"/>
    </row>
    <row r="241" customFormat="false" ht="15" hidden="false" customHeight="false" outlineLevel="0" collapsed="false">
      <c r="A241" s="28" t="s">
        <v>2967</v>
      </c>
      <c r="B241" s="28" t="s">
        <v>2209</v>
      </c>
      <c r="C241" s="28" t="s">
        <v>2210</v>
      </c>
      <c r="D241" s="28"/>
      <c r="E241" s="28"/>
      <c r="F241" s="28"/>
      <c r="G241" s="28" t="s">
        <v>745</v>
      </c>
      <c r="H241" s="28" t="s">
        <v>2951</v>
      </c>
      <c r="I241" s="28" t="s">
        <v>2220</v>
      </c>
      <c r="J241" s="28" t="s">
        <v>2952</v>
      </c>
      <c r="K241" s="28" t="s">
        <v>2953</v>
      </c>
      <c r="L241" s="28" t="s">
        <v>2968</v>
      </c>
      <c r="M241" s="28" t="s">
        <v>121</v>
      </c>
      <c r="N241" s="28" t="s">
        <v>201</v>
      </c>
      <c r="O241" s="28"/>
      <c r="P241" s="28" t="s">
        <v>101</v>
      </c>
      <c r="Q241" s="28"/>
      <c r="R241" s="28"/>
    </row>
    <row r="242" customFormat="false" ht="15" hidden="false" customHeight="false" outlineLevel="0" collapsed="false">
      <c r="A242" s="28" t="s">
        <v>2969</v>
      </c>
      <c r="B242" s="28" t="s">
        <v>2209</v>
      </c>
      <c r="C242" s="28" t="s">
        <v>2210</v>
      </c>
      <c r="D242" s="28"/>
      <c r="E242" s="28"/>
      <c r="F242" s="28"/>
      <c r="G242" s="28" t="s">
        <v>745</v>
      </c>
      <c r="H242" s="28" t="s">
        <v>2951</v>
      </c>
      <c r="I242" s="28" t="s">
        <v>2220</v>
      </c>
      <c r="J242" s="28" t="s">
        <v>2952</v>
      </c>
      <c r="K242" s="28" t="s">
        <v>2953</v>
      </c>
      <c r="L242" s="28" t="s">
        <v>2970</v>
      </c>
      <c r="M242" s="28" t="s">
        <v>121</v>
      </c>
      <c r="N242" s="28" t="s">
        <v>201</v>
      </c>
      <c r="O242" s="28"/>
      <c r="P242" s="28" t="s">
        <v>101</v>
      </c>
      <c r="Q242" s="28"/>
      <c r="R242" s="28"/>
    </row>
    <row r="243" customFormat="false" ht="15" hidden="false" customHeight="false" outlineLevel="0" collapsed="false">
      <c r="A243" s="28" t="s">
        <v>2971</v>
      </c>
      <c r="B243" s="28" t="s">
        <v>2209</v>
      </c>
      <c r="C243" s="28" t="s">
        <v>2210</v>
      </c>
      <c r="D243" s="28"/>
      <c r="E243" s="28"/>
      <c r="F243" s="28"/>
      <c r="G243" s="28" t="s">
        <v>745</v>
      </c>
      <c r="H243" s="28" t="s">
        <v>2972</v>
      </c>
      <c r="I243" s="28" t="s">
        <v>2220</v>
      </c>
      <c r="J243" s="28" t="s">
        <v>2973</v>
      </c>
      <c r="K243" s="28" t="s">
        <v>2974</v>
      </c>
      <c r="L243" s="28" t="s">
        <v>2975</v>
      </c>
      <c r="M243" s="28" t="s">
        <v>121</v>
      </c>
      <c r="N243" s="28" t="s">
        <v>201</v>
      </c>
      <c r="O243" s="28"/>
      <c r="P243" s="28" t="s">
        <v>101</v>
      </c>
      <c r="Q243" s="28"/>
      <c r="R243" s="28"/>
    </row>
  </sheetData>
  <mergeCells count="2">
    <mergeCell ref="A1:R1"/>
    <mergeCell ref="A2:R2"/>
  </mergeCells>
  <conditionalFormatting sqref="M4:M243">
    <cfRule type="expression" priority="2" aboveAverage="0" equalAverage="0" bottom="0" percent="0" rank="0" text="" dxfId="16">
      <formula>$M4="KRİTİK"</formula>
    </cfRule>
    <cfRule type="expression" priority="3" aboveAverage="0" equalAverage="0" bottom="0" percent="0" rank="0" text="" dxfId="17">
      <formula>$M4="YÜKSEK"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5"/>
    <col collapsed="false" customWidth="true" hidden="false" outlineLevel="0" max="3" min="3" style="0" width="22"/>
    <col collapsed="false" customWidth="true" hidden="false" outlineLevel="0" max="4" min="4" style="0" width="14"/>
    <col collapsed="false" customWidth="true" hidden="false" outlineLevel="0" max="5" min="5" style="0" width="20"/>
    <col collapsed="false" customWidth="true" hidden="false" outlineLevel="0" max="6" min="6" style="0" width="10"/>
    <col collapsed="false" customWidth="true" hidden="false" outlineLevel="0" max="7" min="7" style="0" width="14"/>
    <col collapsed="false" customWidth="true" hidden="false" outlineLevel="0" max="8" min="8" style="0" width="50"/>
    <col collapsed="false" customWidth="true" hidden="false" outlineLevel="0" max="9" min="9" style="0" width="14"/>
    <col collapsed="false" customWidth="true" hidden="false" outlineLevel="0" max="10" min="10" style="0" width="18"/>
    <col collapsed="false" customWidth="true" hidden="false" outlineLevel="0" max="11" min="11" style="0" width="55"/>
    <col collapsed="false" customWidth="true" hidden="false" outlineLevel="0" max="12" min="12" style="0" width="14"/>
  </cols>
  <sheetData>
    <row r="1" customFormat="false" ht="27.75" hidden="false" customHeight="true" outlineLevel="0" collapsed="false">
      <c r="A1" s="17" t="s">
        <v>2976</v>
      </c>
      <c r="B1" s="17"/>
      <c r="C1" s="17"/>
      <c r="D1" s="17"/>
      <c r="E1" s="17"/>
      <c r="F1" s="17"/>
      <c r="G1" s="17"/>
      <c r="H1" s="17"/>
      <c r="I1" s="17"/>
      <c r="J1" s="17"/>
      <c r="K1" s="17"/>
      <c r="L1" s="17"/>
    </row>
    <row r="2" customFormat="false" ht="30" hidden="false" customHeight="true" outlineLevel="0" collapsed="false">
      <c r="A2" s="18" t="s">
        <v>2977</v>
      </c>
      <c r="B2" s="18" t="s">
        <v>2978</v>
      </c>
      <c r="C2" s="18" t="s">
        <v>2979</v>
      </c>
      <c r="D2" s="18" t="s">
        <v>273</v>
      </c>
      <c r="E2" s="18" t="s">
        <v>2980</v>
      </c>
      <c r="F2" s="18" t="s">
        <v>137</v>
      </c>
      <c r="G2" s="18" t="s">
        <v>2981</v>
      </c>
      <c r="H2" s="18" t="s">
        <v>2982</v>
      </c>
      <c r="I2" s="18" t="s">
        <v>189</v>
      </c>
      <c r="J2" s="18" t="s">
        <v>2983</v>
      </c>
      <c r="K2" s="18" t="s">
        <v>342</v>
      </c>
      <c r="L2" s="18" t="s">
        <v>229</v>
      </c>
    </row>
    <row r="3" customFormat="false" ht="23.85" hidden="false" customHeight="false" outlineLevel="0" collapsed="false">
      <c r="A3" s="19" t="s">
        <v>2984</v>
      </c>
      <c r="B3" s="19" t="s">
        <v>2985</v>
      </c>
      <c r="C3" s="19" t="s">
        <v>2986</v>
      </c>
      <c r="D3" s="19" t="s">
        <v>195</v>
      </c>
      <c r="E3" s="19"/>
      <c r="F3" s="19" t="s">
        <v>2987</v>
      </c>
      <c r="G3" s="19" t="s">
        <v>2988</v>
      </c>
      <c r="H3" s="19" t="s">
        <v>2989</v>
      </c>
      <c r="I3" s="19" t="s">
        <v>2990</v>
      </c>
      <c r="J3" s="19" t="s">
        <v>2991</v>
      </c>
      <c r="K3" s="19" t="s">
        <v>2992</v>
      </c>
      <c r="L3" s="19" t="s">
        <v>35</v>
      </c>
    </row>
    <row r="4" customFormat="false" ht="23.85" hidden="false" customHeight="false" outlineLevel="0" collapsed="false">
      <c r="A4" s="20" t="s">
        <v>2993</v>
      </c>
      <c r="B4" s="20" t="s">
        <v>2994</v>
      </c>
      <c r="C4" s="20" t="s">
        <v>79</v>
      </c>
      <c r="D4" s="20" t="s">
        <v>209</v>
      </c>
      <c r="E4" s="20"/>
      <c r="F4" s="20" t="s">
        <v>2995</v>
      </c>
      <c r="G4" s="20" t="s">
        <v>2996</v>
      </c>
      <c r="H4" s="20" t="s">
        <v>78</v>
      </c>
      <c r="I4" s="20" t="s">
        <v>2990</v>
      </c>
      <c r="J4" s="20" t="s">
        <v>2997</v>
      </c>
      <c r="K4" s="20" t="s">
        <v>2998</v>
      </c>
      <c r="L4" s="20" t="s">
        <v>35</v>
      </c>
    </row>
    <row r="5" customFormat="false" ht="23.85" hidden="false" customHeight="false" outlineLevel="0" collapsed="false">
      <c r="A5" s="19" t="s">
        <v>2999</v>
      </c>
      <c r="B5" s="19" t="s">
        <v>3000</v>
      </c>
      <c r="C5" s="19" t="s">
        <v>3001</v>
      </c>
      <c r="D5" s="19"/>
      <c r="E5" s="19"/>
      <c r="F5" s="19"/>
      <c r="G5" s="19" t="s">
        <v>286</v>
      </c>
      <c r="H5" s="19" t="s">
        <v>47</v>
      </c>
      <c r="I5" s="19" t="s">
        <v>2990</v>
      </c>
      <c r="J5" s="19"/>
      <c r="K5" s="19" t="s">
        <v>3002</v>
      </c>
      <c r="L5" s="19" t="s">
        <v>35</v>
      </c>
    </row>
    <row r="6" customFormat="false" ht="15" hidden="false" customHeight="false" outlineLevel="0" collapsed="false">
      <c r="A6" s="20" t="s">
        <v>3003</v>
      </c>
      <c r="B6" s="20" t="s">
        <v>3004</v>
      </c>
      <c r="C6" s="20" t="s">
        <v>3005</v>
      </c>
      <c r="D6" s="20"/>
      <c r="E6" s="20" t="s">
        <v>3006</v>
      </c>
      <c r="F6" s="20"/>
      <c r="G6" s="20" t="s">
        <v>3007</v>
      </c>
      <c r="H6" s="20" t="s">
        <v>63</v>
      </c>
      <c r="I6" s="20" t="s">
        <v>2990</v>
      </c>
      <c r="J6" s="20"/>
      <c r="K6" s="20" t="s">
        <v>3008</v>
      </c>
      <c r="L6" s="20" t="s">
        <v>35</v>
      </c>
    </row>
    <row r="7" customFormat="false" ht="15" hidden="false" customHeight="false" outlineLevel="0" collapsed="false">
      <c r="A7" s="19" t="s">
        <v>3009</v>
      </c>
      <c r="B7" s="19" t="s">
        <v>3010</v>
      </c>
      <c r="C7" s="19" t="s">
        <v>3011</v>
      </c>
      <c r="D7" s="19"/>
      <c r="E7" s="19"/>
      <c r="F7" s="19"/>
      <c r="G7" s="19" t="s">
        <v>3012</v>
      </c>
      <c r="H7" s="19" t="s">
        <v>55</v>
      </c>
      <c r="I7" s="19" t="s">
        <v>2990</v>
      </c>
      <c r="J7" s="19" t="s">
        <v>201</v>
      </c>
      <c r="K7" s="19" t="s">
        <v>3013</v>
      </c>
      <c r="L7" s="19" t="s">
        <v>35</v>
      </c>
    </row>
    <row r="8" customFormat="false" ht="15" hidden="false" customHeight="false" outlineLevel="0" collapsed="false">
      <c r="A8" s="20"/>
      <c r="B8" s="20"/>
      <c r="C8" s="20"/>
      <c r="D8" s="20"/>
      <c r="E8" s="20"/>
      <c r="F8" s="20"/>
      <c r="G8" s="20"/>
      <c r="H8" s="20"/>
      <c r="I8" s="20"/>
      <c r="J8" s="20"/>
      <c r="K8" s="20"/>
      <c r="L8" s="20"/>
    </row>
    <row r="9" customFormat="false" ht="15" hidden="false" customHeight="false" outlineLevel="0" collapsed="false">
      <c r="A9" s="20"/>
      <c r="B9" s="20"/>
      <c r="C9" s="20"/>
      <c r="D9" s="20"/>
      <c r="E9" s="20"/>
      <c r="F9" s="20"/>
      <c r="G9" s="20"/>
      <c r="H9" s="20"/>
      <c r="I9" s="20"/>
      <c r="J9" s="20"/>
      <c r="K9" s="20"/>
      <c r="L9" s="20"/>
    </row>
    <row r="10" customFormat="false" ht="15" hidden="false" customHeight="false" outlineLevel="0" collapsed="false">
      <c r="A10" s="20"/>
      <c r="B10" s="20"/>
      <c r="C10" s="20"/>
      <c r="D10" s="20"/>
      <c r="E10" s="20"/>
      <c r="F10" s="20"/>
      <c r="G10" s="20"/>
      <c r="H10" s="20"/>
      <c r="I10" s="20"/>
      <c r="J10" s="20"/>
      <c r="K10" s="20"/>
      <c r="L10" s="20"/>
    </row>
    <row r="11" customFormat="false" ht="15" hidden="false" customHeight="false" outlineLevel="0" collapsed="false">
      <c r="A11" s="20"/>
      <c r="B11" s="20"/>
      <c r="C11" s="20"/>
      <c r="D11" s="20"/>
      <c r="E11" s="20"/>
      <c r="F11" s="20"/>
      <c r="G11" s="20"/>
      <c r="H11" s="20"/>
      <c r="I11" s="20"/>
      <c r="J11" s="20"/>
      <c r="K11" s="20"/>
      <c r="L11" s="20"/>
    </row>
    <row r="12" customFormat="false" ht="15" hidden="false" customHeight="false" outlineLevel="0" collapsed="false">
      <c r="A12" s="20"/>
      <c r="B12" s="20"/>
      <c r="C12" s="20"/>
      <c r="D12" s="20"/>
      <c r="E12" s="20"/>
      <c r="F12" s="20"/>
      <c r="G12" s="20"/>
      <c r="H12" s="20"/>
      <c r="I12" s="20"/>
      <c r="J12" s="20"/>
      <c r="K12" s="20"/>
      <c r="L12" s="20"/>
    </row>
    <row r="13" customFormat="false" ht="15" hidden="false" customHeight="false" outlineLevel="0" collapsed="false">
      <c r="A13" s="20"/>
      <c r="B13" s="20"/>
      <c r="C13" s="20"/>
      <c r="D13" s="20"/>
      <c r="E13" s="20"/>
      <c r="F13" s="20"/>
      <c r="G13" s="20"/>
      <c r="H13" s="20"/>
      <c r="I13" s="20"/>
      <c r="J13" s="20"/>
      <c r="K13" s="20"/>
      <c r="L13" s="20"/>
    </row>
    <row r="14" customFormat="false" ht="15" hidden="false" customHeight="false" outlineLevel="0" collapsed="false">
      <c r="A14" s="20"/>
      <c r="B14" s="20"/>
      <c r="C14" s="20"/>
      <c r="D14" s="20"/>
      <c r="E14" s="20"/>
      <c r="F14" s="20"/>
      <c r="G14" s="20"/>
      <c r="H14" s="20"/>
      <c r="I14" s="20"/>
      <c r="J14" s="20"/>
      <c r="K14" s="20"/>
      <c r="L14" s="20"/>
    </row>
    <row r="15" customFormat="false" ht="15" hidden="false" customHeight="false" outlineLevel="0" collapsed="false">
      <c r="A15" s="20"/>
      <c r="B15" s="20"/>
      <c r="C15" s="20"/>
      <c r="D15" s="20"/>
      <c r="E15" s="20"/>
      <c r="F15" s="20"/>
      <c r="G15" s="20"/>
      <c r="H15" s="20"/>
      <c r="I15" s="20"/>
      <c r="J15" s="20"/>
      <c r="K15" s="20"/>
      <c r="L15" s="20"/>
    </row>
    <row r="16" customFormat="false" ht="15" hidden="false" customHeight="false" outlineLevel="0" collapsed="false">
      <c r="A16" s="20"/>
      <c r="B16" s="20"/>
      <c r="C16" s="20"/>
      <c r="D16" s="20"/>
      <c r="E16" s="20"/>
      <c r="F16" s="20"/>
      <c r="G16" s="20"/>
      <c r="H16" s="20"/>
      <c r="I16" s="20"/>
      <c r="J16" s="20"/>
      <c r="K16" s="20"/>
      <c r="L16" s="20"/>
    </row>
    <row r="17" customFormat="false" ht="15" hidden="false" customHeight="false" outlineLevel="0" collapsed="false">
      <c r="A17" s="20"/>
      <c r="B17" s="20"/>
      <c r="C17" s="20"/>
      <c r="D17" s="20"/>
      <c r="E17" s="20"/>
      <c r="F17" s="20"/>
      <c r="G17" s="20"/>
      <c r="H17" s="20"/>
      <c r="I17" s="20"/>
      <c r="J17" s="20"/>
      <c r="K17" s="20"/>
      <c r="L17" s="20"/>
    </row>
    <row r="18" customFormat="false" ht="15" hidden="false" customHeight="false" outlineLevel="0" collapsed="false">
      <c r="A18" s="20"/>
      <c r="B18" s="20"/>
      <c r="C18" s="20"/>
      <c r="D18" s="20"/>
      <c r="E18" s="20"/>
      <c r="F18" s="20"/>
      <c r="G18" s="20"/>
      <c r="H18" s="20"/>
      <c r="I18" s="20"/>
      <c r="J18" s="20"/>
      <c r="K18" s="20"/>
      <c r="L18" s="20"/>
    </row>
    <row r="19" customFormat="false" ht="15" hidden="false" customHeight="false" outlineLevel="0" collapsed="false">
      <c r="A19" s="20"/>
      <c r="B19" s="20"/>
      <c r="C19" s="20"/>
      <c r="D19" s="20"/>
      <c r="E19" s="20"/>
      <c r="F19" s="20"/>
      <c r="G19" s="20"/>
      <c r="H19" s="20"/>
      <c r="I19" s="20"/>
      <c r="J19" s="20"/>
      <c r="K19" s="20"/>
      <c r="L19" s="20"/>
    </row>
    <row r="20" customFormat="false" ht="15" hidden="false" customHeight="false" outlineLevel="0" collapsed="false">
      <c r="A20" s="20"/>
      <c r="B20" s="20"/>
      <c r="C20" s="20"/>
      <c r="D20" s="20"/>
      <c r="E20" s="20"/>
      <c r="F20" s="20"/>
      <c r="G20" s="20"/>
      <c r="H20" s="20"/>
      <c r="I20" s="20"/>
      <c r="J20" s="20"/>
      <c r="K20" s="20"/>
      <c r="L20" s="20"/>
    </row>
    <row r="21" customFormat="false" ht="15" hidden="false" customHeight="false" outlineLevel="0" collapsed="false">
      <c r="A21" s="20"/>
      <c r="B21" s="20"/>
      <c r="C21" s="20"/>
      <c r="D21" s="20"/>
      <c r="E21" s="20"/>
      <c r="F21" s="20"/>
      <c r="G21" s="20"/>
      <c r="H21" s="20"/>
      <c r="I21" s="20"/>
      <c r="J21" s="20"/>
      <c r="K21" s="20"/>
      <c r="L21" s="20"/>
    </row>
    <row r="22" customFormat="false" ht="15" hidden="false" customHeight="false" outlineLevel="0" collapsed="false">
      <c r="A22" s="20"/>
      <c r="B22" s="20"/>
      <c r="C22" s="20"/>
      <c r="D22" s="20"/>
      <c r="E22" s="20"/>
      <c r="F22" s="20"/>
      <c r="G22" s="20"/>
      <c r="H22" s="20"/>
      <c r="I22" s="20"/>
      <c r="J22" s="20"/>
      <c r="K22" s="20"/>
      <c r="L22" s="20"/>
    </row>
    <row r="23" customFormat="false" ht="15" hidden="false" customHeight="false" outlineLevel="0" collapsed="false">
      <c r="A23" s="20"/>
      <c r="B23" s="20"/>
      <c r="C23" s="20"/>
      <c r="D23" s="20"/>
      <c r="E23" s="20"/>
      <c r="F23" s="20"/>
      <c r="G23" s="20"/>
      <c r="H23" s="20"/>
      <c r="I23" s="20"/>
      <c r="J23" s="20"/>
      <c r="K23" s="20"/>
      <c r="L23" s="20"/>
    </row>
    <row r="24" customFormat="false" ht="15" hidden="false" customHeight="false" outlineLevel="0" collapsed="false">
      <c r="A24" s="20"/>
      <c r="B24" s="20"/>
      <c r="C24" s="20"/>
      <c r="D24" s="20"/>
      <c r="E24" s="20"/>
      <c r="F24" s="20"/>
      <c r="G24" s="20"/>
      <c r="H24" s="20"/>
      <c r="I24" s="20"/>
      <c r="J24" s="20"/>
      <c r="K24" s="20"/>
      <c r="L24" s="20"/>
    </row>
    <row r="25" customFormat="false" ht="15" hidden="false" customHeight="false" outlineLevel="0" collapsed="false">
      <c r="A25" s="20"/>
      <c r="B25" s="20"/>
      <c r="C25" s="20"/>
      <c r="D25" s="20"/>
      <c r="E25" s="20"/>
      <c r="F25" s="20"/>
      <c r="G25" s="20"/>
      <c r="H25" s="20"/>
      <c r="I25" s="20"/>
      <c r="J25" s="20"/>
      <c r="K25" s="20"/>
      <c r="L25" s="20"/>
    </row>
    <row r="26" customFormat="false" ht="15" hidden="false" customHeight="false" outlineLevel="0" collapsed="false">
      <c r="A26" s="20"/>
      <c r="B26" s="20"/>
      <c r="C26" s="20"/>
      <c r="D26" s="20"/>
      <c r="E26" s="20"/>
      <c r="F26" s="20"/>
      <c r="G26" s="20"/>
      <c r="H26" s="20"/>
      <c r="I26" s="20"/>
      <c r="J26" s="20"/>
      <c r="K26" s="20"/>
      <c r="L26" s="20"/>
    </row>
    <row r="27" customFormat="false" ht="15" hidden="false" customHeight="false" outlineLevel="0" collapsed="false">
      <c r="A27" s="20"/>
      <c r="B27" s="20"/>
      <c r="C27" s="20"/>
      <c r="D27" s="20"/>
      <c r="E27" s="20"/>
      <c r="F27" s="20"/>
      <c r="G27" s="20"/>
      <c r="H27" s="20"/>
      <c r="I27" s="20"/>
      <c r="J27" s="20"/>
      <c r="K27" s="20"/>
      <c r="L27" s="20"/>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3" min="3" style="0" width="20"/>
    <col collapsed="false" customWidth="true" hidden="false" outlineLevel="0" max="4" min="4" style="0" width="25"/>
    <col collapsed="false" customWidth="true" hidden="false" outlineLevel="0" max="5" min="5" style="0" width="22"/>
    <col collapsed="false" customWidth="true" hidden="false" outlineLevel="0" max="6" min="6" style="0" width="70"/>
    <col collapsed="false" customWidth="true" hidden="false" outlineLevel="0" max="7" min="7" style="0" width="14"/>
    <col collapsed="false" customWidth="true" hidden="false" outlineLevel="0" max="8" min="8" style="0" width="60"/>
  </cols>
  <sheetData>
    <row r="1" customFormat="false" ht="27.75" hidden="false" customHeight="true" outlineLevel="0" collapsed="false">
      <c r="A1" s="17" t="s">
        <v>3014</v>
      </c>
      <c r="B1" s="17"/>
      <c r="C1" s="17"/>
      <c r="D1" s="17"/>
      <c r="E1" s="17"/>
      <c r="F1" s="17"/>
      <c r="G1" s="17"/>
      <c r="H1" s="17"/>
    </row>
    <row r="2" customFormat="false" ht="30" hidden="false" customHeight="true" outlineLevel="0" collapsed="false">
      <c r="A2" s="18" t="s">
        <v>3015</v>
      </c>
      <c r="B2" s="18" t="s">
        <v>3016</v>
      </c>
      <c r="C2" s="18" t="s">
        <v>3017</v>
      </c>
      <c r="D2" s="18" t="s">
        <v>3018</v>
      </c>
      <c r="E2" s="18" t="s">
        <v>3019</v>
      </c>
      <c r="F2" s="18" t="s">
        <v>342</v>
      </c>
      <c r="G2" s="18" t="s">
        <v>189</v>
      </c>
      <c r="H2" s="18" t="s">
        <v>3020</v>
      </c>
    </row>
    <row r="3" customFormat="false" ht="23.85" hidden="false" customHeight="false" outlineLevel="0" collapsed="false">
      <c r="A3" s="19" t="s">
        <v>3021</v>
      </c>
      <c r="B3" s="19" t="s">
        <v>3022</v>
      </c>
      <c r="C3" s="19" t="s">
        <v>344</v>
      </c>
      <c r="D3" s="19" t="s">
        <v>3023</v>
      </c>
      <c r="E3" s="19" t="s">
        <v>3024</v>
      </c>
      <c r="F3" s="19" t="s">
        <v>3025</v>
      </c>
      <c r="G3" s="19" t="s">
        <v>101</v>
      </c>
      <c r="H3" s="19" t="s">
        <v>3026</v>
      </c>
    </row>
    <row r="4" customFormat="false" ht="15" hidden="false" customHeight="false" outlineLevel="0" collapsed="false">
      <c r="A4" s="20" t="s">
        <v>3027</v>
      </c>
      <c r="B4" s="20" t="s">
        <v>3022</v>
      </c>
      <c r="C4" s="20" t="s">
        <v>344</v>
      </c>
      <c r="D4" s="20" t="s">
        <v>3028</v>
      </c>
      <c r="E4" s="20" t="s">
        <v>3029</v>
      </c>
      <c r="F4" s="20" t="s">
        <v>3030</v>
      </c>
      <c r="G4" s="20" t="s">
        <v>101</v>
      </c>
      <c r="H4" s="20" t="s">
        <v>3031</v>
      </c>
    </row>
    <row r="5" customFormat="false" ht="23.85" hidden="false" customHeight="false" outlineLevel="0" collapsed="false">
      <c r="A5" s="19" t="s">
        <v>3032</v>
      </c>
      <c r="B5" s="19" t="s">
        <v>3022</v>
      </c>
      <c r="C5" s="19" t="s">
        <v>344</v>
      </c>
      <c r="D5" s="19" t="s">
        <v>3033</v>
      </c>
      <c r="E5" s="19" t="s">
        <v>3034</v>
      </c>
      <c r="F5" s="19" t="s">
        <v>3035</v>
      </c>
      <c r="G5" s="19" t="s">
        <v>101</v>
      </c>
      <c r="H5" s="19" t="s">
        <v>3036</v>
      </c>
    </row>
    <row r="6" customFormat="false" ht="15" hidden="false" customHeight="false" outlineLevel="0" collapsed="false">
      <c r="A6" s="20" t="s">
        <v>3037</v>
      </c>
      <c r="B6" s="20" t="s">
        <v>3022</v>
      </c>
      <c r="C6" s="20" t="s">
        <v>344</v>
      </c>
      <c r="D6" s="20" t="s">
        <v>3038</v>
      </c>
      <c r="E6" s="20" t="s">
        <v>3039</v>
      </c>
      <c r="F6" s="20" t="s">
        <v>3040</v>
      </c>
      <c r="G6" s="20" t="s">
        <v>101</v>
      </c>
      <c r="H6" s="20" t="s">
        <v>3041</v>
      </c>
    </row>
    <row r="7" customFormat="false" ht="15" hidden="false" customHeight="false" outlineLevel="0" collapsed="false">
      <c r="A7" s="19" t="s">
        <v>3042</v>
      </c>
      <c r="B7" s="19" t="s">
        <v>3022</v>
      </c>
      <c r="C7" s="19" t="s">
        <v>154</v>
      </c>
      <c r="D7" s="19" t="s">
        <v>3043</v>
      </c>
      <c r="E7" s="19" t="s">
        <v>3029</v>
      </c>
      <c r="F7" s="19" t="s">
        <v>3044</v>
      </c>
      <c r="G7" s="19" t="s">
        <v>101</v>
      </c>
      <c r="H7" s="19" t="s">
        <v>3045</v>
      </c>
    </row>
    <row r="8" customFormat="false" ht="23.85" hidden="false" customHeight="false" outlineLevel="0" collapsed="false">
      <c r="A8" s="20" t="s">
        <v>3046</v>
      </c>
      <c r="B8" s="20" t="s">
        <v>3047</v>
      </c>
      <c r="C8" s="20" t="s">
        <v>3048</v>
      </c>
      <c r="D8" s="20" t="s">
        <v>3049</v>
      </c>
      <c r="E8" s="20" t="s">
        <v>3050</v>
      </c>
      <c r="F8" s="20" t="s">
        <v>3051</v>
      </c>
      <c r="G8" s="20" t="s">
        <v>101</v>
      </c>
      <c r="H8" s="20" t="s">
        <v>3052</v>
      </c>
    </row>
    <row r="9" customFormat="false" ht="15" hidden="false" customHeight="false" outlineLevel="0" collapsed="false">
      <c r="A9" s="19" t="s">
        <v>3053</v>
      </c>
      <c r="B9" s="19" t="s">
        <v>3047</v>
      </c>
      <c r="C9" s="19" t="s">
        <v>3048</v>
      </c>
      <c r="D9" s="19" t="s">
        <v>3049</v>
      </c>
      <c r="E9" s="19" t="s">
        <v>3054</v>
      </c>
      <c r="F9" s="19" t="s">
        <v>3055</v>
      </c>
      <c r="G9" s="19" t="s">
        <v>101</v>
      </c>
      <c r="H9" s="19" t="s">
        <v>3056</v>
      </c>
    </row>
    <row r="10" customFormat="false" ht="15" hidden="false" customHeight="false" outlineLevel="0" collapsed="false">
      <c r="A10" s="20" t="s">
        <v>3057</v>
      </c>
      <c r="B10" s="20" t="s">
        <v>3058</v>
      </c>
      <c r="C10" s="20" t="s">
        <v>3059</v>
      </c>
      <c r="D10" s="20" t="s">
        <v>3060</v>
      </c>
      <c r="E10" s="20" t="s">
        <v>3061</v>
      </c>
      <c r="F10" s="20" t="s">
        <v>3062</v>
      </c>
      <c r="G10" s="20" t="s">
        <v>101</v>
      </c>
      <c r="H10" s="20" t="s">
        <v>3063</v>
      </c>
    </row>
    <row r="11" customFormat="false" ht="23.85" hidden="false" customHeight="false" outlineLevel="0" collapsed="false">
      <c r="A11" s="19" t="s">
        <v>3064</v>
      </c>
      <c r="B11" s="19" t="s">
        <v>3065</v>
      </c>
      <c r="C11" s="19" t="s">
        <v>3066</v>
      </c>
      <c r="D11" s="19" t="s">
        <v>3067</v>
      </c>
      <c r="E11" s="19" t="s">
        <v>3068</v>
      </c>
      <c r="F11" s="19" t="s">
        <v>3069</v>
      </c>
      <c r="G11" s="19" t="s">
        <v>101</v>
      </c>
      <c r="H11" s="19" t="s">
        <v>3070</v>
      </c>
    </row>
    <row r="12" customFormat="false" ht="23.85" hidden="false" customHeight="false" outlineLevel="0" collapsed="false">
      <c r="A12" s="20" t="s">
        <v>3071</v>
      </c>
      <c r="B12" s="20" t="s">
        <v>3072</v>
      </c>
      <c r="C12" s="20" t="s">
        <v>3073</v>
      </c>
      <c r="D12" s="20" t="s">
        <v>3074</v>
      </c>
      <c r="E12" s="20" t="s">
        <v>3075</v>
      </c>
      <c r="F12" s="20" t="s">
        <v>3076</v>
      </c>
      <c r="G12" s="20" t="s">
        <v>101</v>
      </c>
      <c r="H12" s="20" t="s">
        <v>3077</v>
      </c>
    </row>
  </sheetData>
  <mergeCells count="1">
    <mergeCell ref="A1:H1"/>
  </mergeCells>
  <conditionalFormatting sqref="G3:G12">
    <cfRule type="expression" priority="2" aboveAverage="0" equalAverage="0" bottom="0" percent="0" rank="0" text="" dxfId="21">
      <formula>$G3="Açık"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2026-10-09T07:53:28Z</dcterms:created>
  <dc:creator>openpyxl</dc:creator>
  <dc:description/>
  <dc:language>en-US</dc:language>
  <cp:lastModifiedBy/>
  <dcterms:modified xsi:type="dcterms:W3CDTF">2026-10-09T07:53:32Z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